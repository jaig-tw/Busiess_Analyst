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anApplication" sheetId="1" r:id="rId1"/>
  </sheets>
  <definedNames>
    <definedName name="cibile_score">LoanApplication!$G$10</definedName>
    <definedName name="credit_weight">LoanApplication!$H$15</definedName>
    <definedName name="max_loan">LoanApplication!$G$17</definedName>
  </definedNames>
  <calcPr calcId="152511"/>
</workbook>
</file>

<file path=xl/calcChain.xml><?xml version="1.0" encoding="utf-8"?>
<calcChain xmlns="http://schemas.openxmlformats.org/spreadsheetml/2006/main">
  <c r="G21" i="1" l="1"/>
  <c r="G16" i="1" l="1"/>
  <c r="J34" i="1" s="1"/>
  <c r="G15" i="1"/>
  <c r="G18" i="1" s="1"/>
  <c r="J32" i="1" l="1"/>
  <c r="J28" i="1"/>
  <c r="J55" i="1"/>
  <c r="J51" i="1"/>
  <c r="J47" i="1"/>
  <c r="J43" i="1"/>
  <c r="J39" i="1"/>
  <c r="J35" i="1"/>
  <c r="J30" i="1"/>
  <c r="J57" i="1"/>
  <c r="J53" i="1"/>
  <c r="J49" i="1"/>
  <c r="J45" i="1"/>
  <c r="J41" i="1"/>
  <c r="J37" i="1"/>
  <c r="J33" i="1"/>
  <c r="J26" i="1"/>
  <c r="J29" i="1"/>
  <c r="J56" i="1"/>
  <c r="J52" i="1"/>
  <c r="J48" i="1"/>
  <c r="J44" i="1"/>
  <c r="J40" i="1"/>
  <c r="J36" i="1"/>
  <c r="J31" i="1"/>
  <c r="J27" i="1"/>
  <c r="G17" i="1" s="1"/>
  <c r="G19" i="1" s="1"/>
  <c r="J54" i="1"/>
  <c r="J50" i="1"/>
  <c r="J46" i="1"/>
  <c r="J42" i="1"/>
  <c r="J38" i="1"/>
</calcChain>
</file>

<file path=xl/sharedStrings.xml><?xml version="1.0" encoding="utf-8"?>
<sst xmlns="http://schemas.openxmlformats.org/spreadsheetml/2006/main" count="24" uniqueCount="23">
  <si>
    <t>Tenure (in Years)</t>
  </si>
  <si>
    <t>Credit Score</t>
  </si>
  <si>
    <t>Applicant Income (yearly)</t>
  </si>
  <si>
    <t>Low Risk</t>
  </si>
  <si>
    <t>Medium Risk</t>
  </si>
  <si>
    <t>High Risk</t>
  </si>
  <si>
    <t>Not Eligible</t>
  </si>
  <si>
    <t>EMI Eligibility</t>
  </si>
  <si>
    <t>Interet Rate</t>
  </si>
  <si>
    <t>Tenure</t>
  </si>
  <si>
    <t>Principal Amount</t>
  </si>
  <si>
    <t>Sactioned Loan Amount</t>
  </si>
  <si>
    <t>Credit Weight</t>
  </si>
  <si>
    <t>Amount Availed by the User</t>
  </si>
  <si>
    <t xml:space="preserve">EMI </t>
  </si>
  <si>
    <t>Eligible Loan Amount</t>
  </si>
  <si>
    <t>User Inputs</t>
  </si>
  <si>
    <t>Loan Applied (in Lakhs)</t>
  </si>
  <si>
    <t>Bank Inputs</t>
  </si>
  <si>
    <t>Loan Elibibility and EMI Calculator</t>
  </si>
  <si>
    <t>Eligibility Calcuator</t>
  </si>
  <si>
    <t>EMI Calculator</t>
  </si>
  <si>
    <t>Credit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</si>
</sst>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₹&quot;\ #,##0.00;[Red]&quot;₹&quot;\ \-#,##0.00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8" fontId="0" fillId="0" borderId="0" xfId="0" applyNumberFormat="1"/>
    <xf numFmtId="0" fontId="1" fillId="0" borderId="1" xfId="0" applyFont="1" applyBorder="1"/>
    <xf numFmtId="1" fontId="0" fillId="0" borderId="1" xfId="0" applyNumberFormat="1" applyBorder="1"/>
    <xf numFmtId="8" fontId="0" fillId="0" borderId="1" xfId="0" applyNumberFormat="1" applyBorder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0" fillId="3" borderId="0" xfId="0" applyFont="1" applyFill="1"/>
    <xf numFmtId="0" fontId="4" fillId="0" borderId="0" xfId="0" applyFont="1"/>
    <xf numFmtId="164" fontId="0" fillId="2" borderId="0" xfId="0" applyNumberForma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57"/>
  <sheetViews>
    <sheetView tabSelected="1" workbookViewId="0">
      <selection activeCell="F29" sqref="F29"/>
    </sheetView>
  </sheetViews>
  <sheetFormatPr defaultRowHeight="15" x14ac:dyDescent="0.25"/>
  <cols>
    <col min="6" max="6" width="52.28515625" customWidth="1"/>
    <col min="7" max="7" width="22" customWidth="1"/>
    <col min="8" max="8" width="34.28515625" customWidth="1"/>
    <col min="9" max="9" width="12.42578125" customWidth="1"/>
    <col min="10" max="10" width="15.28515625" customWidth="1"/>
    <col min="11" max="11" width="19.140625" customWidth="1"/>
    <col min="12" max="12" width="13.85546875" customWidth="1"/>
  </cols>
  <sheetData>
    <row r="3" spans="4:12" ht="31.5" x14ac:dyDescent="0.5">
      <c r="F3" s="20" t="s">
        <v>19</v>
      </c>
    </row>
    <row r="8" spans="4:12" x14ac:dyDescent="0.25">
      <c r="D8" s="16" t="s">
        <v>16</v>
      </c>
      <c r="F8" s="19" t="s">
        <v>17</v>
      </c>
      <c r="G8" s="19">
        <v>15</v>
      </c>
    </row>
    <row r="9" spans="4:12" x14ac:dyDescent="0.25">
      <c r="F9" s="19" t="s">
        <v>0</v>
      </c>
      <c r="G9" s="19">
        <v>9</v>
      </c>
    </row>
    <row r="10" spans="4:12" x14ac:dyDescent="0.25">
      <c r="F10" s="19" t="s">
        <v>1</v>
      </c>
      <c r="G10" s="19">
        <v>800</v>
      </c>
    </row>
    <row r="11" spans="4:12" x14ac:dyDescent="0.25">
      <c r="F11" s="17" t="s">
        <v>2</v>
      </c>
      <c r="G11" s="22">
        <v>1000000</v>
      </c>
    </row>
    <row r="12" spans="4:12" x14ac:dyDescent="0.25">
      <c r="F12" s="18"/>
      <c r="G12" s="18"/>
    </row>
    <row r="13" spans="4:12" x14ac:dyDescent="0.25">
      <c r="D13" s="16" t="s">
        <v>18</v>
      </c>
      <c r="F13" s="19" t="s">
        <v>8</v>
      </c>
      <c r="G13" s="18">
        <v>9</v>
      </c>
      <c r="K13" s="4"/>
      <c r="L13" s="4"/>
    </row>
    <row r="14" spans="4:12" x14ac:dyDescent="0.25">
      <c r="K14" s="4"/>
      <c r="L14" s="4"/>
    </row>
    <row r="15" spans="4:12" x14ac:dyDescent="0.25">
      <c r="D15" s="16" t="s">
        <v>20</v>
      </c>
      <c r="F15" s="18" t="s">
        <v>22</v>
      </c>
      <c r="G15" t="str">
        <f>IF(cibile_score&gt;350,IF(cibile_score&gt;700,"Low Risk",IF(cibile_score&gt;500,"Medium Risk","High Risk")),"Not Eligible")</f>
        <v>Low Risk</v>
      </c>
      <c r="I15" s="12" t="s">
        <v>12</v>
      </c>
      <c r="J15" s="13"/>
      <c r="K15" s="5"/>
      <c r="L15" s="5"/>
    </row>
    <row r="16" spans="4:12" x14ac:dyDescent="0.25">
      <c r="F16" t="s">
        <v>7</v>
      </c>
      <c r="G16" s="11">
        <f>$G11*40/100/12</f>
        <v>33333.333333333336</v>
      </c>
      <c r="I16" s="6" t="s">
        <v>3</v>
      </c>
      <c r="J16" s="1">
        <v>100</v>
      </c>
      <c r="K16" s="4"/>
      <c r="L16" s="4"/>
    </row>
    <row r="17" spans="4:12" x14ac:dyDescent="0.25">
      <c r="F17" s="14" t="s">
        <v>15</v>
      </c>
      <c r="G17" s="15">
        <f>VLOOKUP(G9,I26:J57,2,FALSE)</f>
        <v>2461312.7199681592</v>
      </c>
      <c r="I17" s="6" t="s">
        <v>4</v>
      </c>
      <c r="J17" s="3">
        <v>75</v>
      </c>
      <c r="K17" s="4"/>
      <c r="L17" s="4"/>
    </row>
    <row r="18" spans="4:12" x14ac:dyDescent="0.25">
      <c r="F18" t="s">
        <v>12</v>
      </c>
      <c r="G18">
        <f>VLOOKUP(G15,I16:J19,2,FALSE)</f>
        <v>100</v>
      </c>
      <c r="I18" s="6" t="s">
        <v>5</v>
      </c>
      <c r="J18" s="2">
        <v>50</v>
      </c>
    </row>
    <row r="19" spans="4:12" x14ac:dyDescent="0.25">
      <c r="F19" t="s">
        <v>11</v>
      </c>
      <c r="G19" s="11">
        <f>max_loan*G18 / 100</f>
        <v>2461312.7199681592</v>
      </c>
      <c r="I19" s="6" t="s">
        <v>6</v>
      </c>
      <c r="J19" s="2">
        <v>0</v>
      </c>
    </row>
    <row r="20" spans="4:12" x14ac:dyDescent="0.25">
      <c r="D20" s="16" t="s">
        <v>21</v>
      </c>
      <c r="F20" s="17" t="s">
        <v>13</v>
      </c>
      <c r="G20" s="21">
        <v>1800000</v>
      </c>
    </row>
    <row r="21" spans="4:12" x14ac:dyDescent="0.25">
      <c r="F21" t="s">
        <v>14</v>
      </c>
      <c r="G21" s="7">
        <f>PMT(G13/12/100,G9*12,-G20,0)</f>
        <v>24377.235575647061</v>
      </c>
    </row>
    <row r="25" spans="4:12" x14ac:dyDescent="0.25">
      <c r="I25" s="8" t="s">
        <v>9</v>
      </c>
      <c r="J25" s="8" t="s">
        <v>10</v>
      </c>
    </row>
    <row r="26" spans="4:12" x14ac:dyDescent="0.25">
      <c r="I26" s="9">
        <v>8</v>
      </c>
      <c r="J26" s="10">
        <f>PV($G$13/100/12,I26*12,-$G$16,0)</f>
        <v>2275281.2852221294</v>
      </c>
    </row>
    <row r="27" spans="4:12" x14ac:dyDescent="0.25">
      <c r="I27" s="9">
        <v>9</v>
      </c>
      <c r="J27" s="10">
        <f t="shared" ref="J27:J57" si="0">PV($G$13/100/12,I27*12,-$G$16,0)</f>
        <v>2461312.7199681592</v>
      </c>
    </row>
    <row r="28" spans="4:12" x14ac:dyDescent="0.25">
      <c r="I28" s="9">
        <v>10</v>
      </c>
      <c r="J28" s="10">
        <f t="shared" si="0"/>
        <v>2631389.7556333588</v>
      </c>
    </row>
    <row r="29" spans="4:12" x14ac:dyDescent="0.25">
      <c r="I29" s="9">
        <v>11</v>
      </c>
      <c r="J29" s="10">
        <f t="shared" si="0"/>
        <v>2786880.6709195399</v>
      </c>
    </row>
    <row r="30" spans="4:12" x14ac:dyDescent="0.25">
      <c r="I30" s="9">
        <v>12</v>
      </c>
      <c r="J30" s="10">
        <f t="shared" si="0"/>
        <v>2929036.3984225057</v>
      </c>
    </row>
    <row r="31" spans="4:12" x14ac:dyDescent="0.25">
      <c r="I31" s="9">
        <v>13</v>
      </c>
      <c r="J31" s="10">
        <f t="shared" si="0"/>
        <v>3059000.5884506134</v>
      </c>
    </row>
    <row r="32" spans="4:12" x14ac:dyDescent="0.25">
      <c r="I32" s="9">
        <v>14</v>
      </c>
      <c r="J32" s="10">
        <f t="shared" si="0"/>
        <v>3177818.8097516824</v>
      </c>
    </row>
    <row r="33" spans="9:10" x14ac:dyDescent="0.25">
      <c r="I33" s="9">
        <v>15</v>
      </c>
      <c r="J33" s="10">
        <f t="shared" si="0"/>
        <v>3286446.9611685975</v>
      </c>
    </row>
    <row r="34" spans="9:10" x14ac:dyDescent="0.25">
      <c r="I34" s="9">
        <v>16</v>
      </c>
      <c r="J34" s="10">
        <f t="shared" si="0"/>
        <v>3385758.9618957946</v>
      </c>
    </row>
    <row r="35" spans="9:10" x14ac:dyDescent="0.25">
      <c r="I35" s="9">
        <v>17</v>
      </c>
      <c r="J35" s="10">
        <f t="shared" si="0"/>
        <v>3476553.7822051751</v>
      </c>
    </row>
    <row r="36" spans="9:10" x14ac:dyDescent="0.25">
      <c r="I36" s="9">
        <v>18</v>
      </c>
      <c r="J36" s="10">
        <f t="shared" si="0"/>
        <v>3559561.8712039799</v>
      </c>
    </row>
    <row r="37" spans="9:10" x14ac:dyDescent="0.25">
      <c r="I37" s="9">
        <v>19</v>
      </c>
      <c r="J37" s="10">
        <f t="shared" si="0"/>
        <v>3635451.0333363023</v>
      </c>
    </row>
    <row r="38" spans="9:10" x14ac:dyDescent="0.25">
      <c r="I38" s="9">
        <v>20</v>
      </c>
      <c r="J38" s="10">
        <f t="shared" si="0"/>
        <v>3704831.8009049753</v>
      </c>
    </row>
    <row r="39" spans="9:10" x14ac:dyDescent="0.25">
      <c r="I39" s="9">
        <v>21</v>
      </c>
      <c r="J39" s="10">
        <f t="shared" si="0"/>
        <v>3768262.345836082</v>
      </c>
    </row>
    <row r="40" spans="9:10" x14ac:dyDescent="0.25">
      <c r="I40" s="9">
        <v>22</v>
      </c>
      <c r="J40" s="10">
        <f t="shared" si="0"/>
        <v>3826252.9702014676</v>
      </c>
    </row>
    <row r="41" spans="9:10" x14ac:dyDescent="0.25">
      <c r="I41" s="9">
        <v>23</v>
      </c>
      <c r="J41" s="10">
        <f t="shared" si="0"/>
        <v>3879270.2116257665</v>
      </c>
    </row>
    <row r="42" spans="9:10" x14ac:dyDescent="0.25">
      <c r="I42" s="9">
        <v>24</v>
      </c>
      <c r="J42" s="10">
        <f t="shared" si="0"/>
        <v>3927740.5966061382</v>
      </c>
    </row>
    <row r="43" spans="9:10" x14ac:dyDescent="0.25">
      <c r="I43" s="9">
        <v>25</v>
      </c>
      <c r="J43" s="10">
        <f t="shared" si="0"/>
        <v>3972054.0719403848</v>
      </c>
    </row>
    <row r="44" spans="9:10" x14ac:dyDescent="0.25">
      <c r="I44" s="9">
        <v>26</v>
      </c>
      <c r="J44" s="10">
        <f t="shared" si="0"/>
        <v>4012567.141869457</v>
      </c>
    </row>
    <row r="45" spans="9:10" x14ac:dyDescent="0.25">
      <c r="I45" s="9">
        <v>27</v>
      </c>
      <c r="J45" s="10">
        <f t="shared" si="0"/>
        <v>4049605.7361728358</v>
      </c>
    </row>
    <row r="46" spans="9:10" x14ac:dyDescent="0.25">
      <c r="I46" s="9">
        <v>28</v>
      </c>
      <c r="J46" s="10">
        <f t="shared" si="0"/>
        <v>4083467.8322907551</v>
      </c>
    </row>
    <row r="47" spans="9:10" x14ac:dyDescent="0.25">
      <c r="I47" s="9">
        <v>29</v>
      </c>
      <c r="J47" s="10">
        <f t="shared" si="0"/>
        <v>4114425.852568394</v>
      </c>
    </row>
    <row r="48" spans="9:10" x14ac:dyDescent="0.25">
      <c r="I48" s="9">
        <v>30</v>
      </c>
      <c r="J48" s="10">
        <f t="shared" si="0"/>
        <v>4142728.8559079752</v>
      </c>
    </row>
    <row r="49" spans="9:10" x14ac:dyDescent="0.25">
      <c r="I49" s="9">
        <v>31</v>
      </c>
      <c r="J49" s="10">
        <f t="shared" si="0"/>
        <v>4168604.5414607422</v>
      </c>
    </row>
    <row r="50" spans="9:10" x14ac:dyDescent="0.25">
      <c r="I50" s="9">
        <v>32</v>
      </c>
      <c r="J50" s="10">
        <f t="shared" si="0"/>
        <v>4192261.0804786095</v>
      </c>
    </row>
    <row r="51" spans="9:10" x14ac:dyDescent="0.25">
      <c r="I51" s="9">
        <v>33</v>
      </c>
      <c r="J51" s="10">
        <f t="shared" si="0"/>
        <v>4213888.791062844</v>
      </c>
    </row>
    <row r="52" spans="9:10" x14ac:dyDescent="0.25">
      <c r="I52" s="9">
        <v>34</v>
      </c>
      <c r="J52" s="10">
        <f t="shared" si="0"/>
        <v>4233661.6692832019</v>
      </c>
    </row>
    <row r="53" spans="9:10" x14ac:dyDescent="0.25">
      <c r="I53" s="9">
        <v>35</v>
      </c>
      <c r="J53" s="10">
        <f t="shared" si="0"/>
        <v>4251738.7889854619</v>
      </c>
    </row>
    <row r="54" spans="9:10" x14ac:dyDescent="0.25">
      <c r="I54" s="9">
        <v>36</v>
      </c>
      <c r="J54" s="10">
        <f t="shared" si="0"/>
        <v>4268265.5815488948</v>
      </c>
    </row>
    <row r="55" spans="9:10" x14ac:dyDescent="0.25">
      <c r="I55" s="9">
        <v>37</v>
      </c>
      <c r="J55" s="10">
        <f t="shared" si="0"/>
        <v>4283375.0058893552</v>
      </c>
    </row>
    <row r="56" spans="9:10" x14ac:dyDescent="0.25">
      <c r="I56" s="9">
        <v>38</v>
      </c>
      <c r="J56" s="10">
        <f t="shared" si="0"/>
        <v>4297188.6181207579</v>
      </c>
    </row>
    <row r="57" spans="9:10" x14ac:dyDescent="0.25">
      <c r="I57" s="9">
        <v>39</v>
      </c>
      <c r="J57" s="10">
        <f t="shared" si="0"/>
        <v>4309817.5494804112</v>
      </c>
    </row>
  </sheetData>
  <mergeCells count="1">
    <mergeCell ref="I15:J15"/>
  </mergeCells>
  <dataValidations count="3">
    <dataValidation type="list" allowBlank="1" showInputMessage="1" showErrorMessage="1" sqref="G8">
      <formula1>"15, 20, 25, 30, 35, 40, 45, 50, 55, 60, 65, 70, 75, 85, 90, 95, 100"</formula1>
    </dataValidation>
    <dataValidation type="whole" allowBlank="1" showInputMessage="1" showErrorMessage="1" sqref="G9">
      <formula1>8</formula1>
      <formula2>40</formula2>
    </dataValidation>
    <dataValidation type="whole" allowBlank="1" showInputMessage="1" showErrorMessage="1" sqref="G10">
      <formula1>200</formula1>
      <formula2>1000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LoanApplication</vt:lpstr>
      <vt:lpstr>cibile_score</vt:lpstr>
      <vt:lpstr>credit_weight</vt:lpstr>
      <vt:lpstr>max_loan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2026-05-07T12:55:38Z</dcterms:modified>
</cp:coreProperties>
</file>