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hidePivotFieldList="1" defaultThemeVersion="124226"/>
  <bookViews>
    <workbookView xWindow="240" yWindow="105" windowWidth="14805" windowHeight="7650" activeTab="3"/>
  </bookViews>
  <sheets>
    <sheet name="Investor-Inputs" sheetId="3" r:id="rId1"/>
    <sheet name="mutual-funds" sheetId="1" r:id="rId2"/>
    <sheet name="mf_charts" sheetId="5" r:id="rId3"/>
    <sheet name="VisualAnalysis" sheetId="7" r:id="rId4"/>
  </sheets>
  <definedNames>
    <definedName name="Cost_Input">'Investor-Inputs'!$N$19</definedName>
    <definedName name="Cost_Map">'Investor-Inputs'!$M$11:$N$14</definedName>
    <definedName name="Cost_Weight">'Investor-Inputs'!$N$27</definedName>
    <definedName name="Input">'Investor-Inputs'!$G$23</definedName>
    <definedName name="Investor_Map">'Investor-Inputs'!$G$11:$H$14</definedName>
    <definedName name="Return_Input">'Investor-Inputs'!$J$19</definedName>
    <definedName name="Return_Map">'Investor-Inputs'!$J$11:$K$14</definedName>
    <definedName name="Return_Weight">'Investor-Inputs'!$J$27</definedName>
    <definedName name="SIP_Input">'Investor-Inputs'!$G$19</definedName>
    <definedName name="SIP_Weight">'Investor-Inputs'!$G$27</definedName>
    <definedName name="SIPInput">'Investor-Inputs'!$G$20</definedName>
  </definedNames>
  <calcPr calcId="152511"/>
  <pivotCaches>
    <pivotCache cacheId="0" r:id="rId5"/>
  </pivotCaches>
</workbook>
</file>

<file path=xl/calcChain.xml><?xml version="1.0" encoding="utf-8"?>
<calcChain xmlns="http://schemas.openxmlformats.org/spreadsheetml/2006/main">
  <c r="S592" i="5" l="1"/>
  <c r="R592" i="5"/>
  <c r="Q592" i="5"/>
  <c r="T592" i="5" s="1"/>
  <c r="S591" i="5"/>
  <c r="T591" i="5" s="1"/>
  <c r="R591" i="5"/>
  <c r="Q591" i="5"/>
  <c r="T590" i="5"/>
  <c r="S590" i="5"/>
  <c r="R590" i="5"/>
  <c r="Q590" i="5"/>
  <c r="S589" i="5"/>
  <c r="R589" i="5"/>
  <c r="Q589" i="5"/>
  <c r="T589" i="5" s="1"/>
  <c r="S588" i="5"/>
  <c r="R588" i="5"/>
  <c r="Q588" i="5"/>
  <c r="S587" i="5"/>
  <c r="T587" i="5" s="1"/>
  <c r="R587" i="5"/>
  <c r="Q587" i="5"/>
  <c r="T586" i="5"/>
  <c r="S586" i="5"/>
  <c r="R586" i="5"/>
  <c r="Q586" i="5"/>
  <c r="S585" i="5"/>
  <c r="R585" i="5"/>
  <c r="Q585" i="5"/>
  <c r="T585" i="5" s="1"/>
  <c r="S584" i="5"/>
  <c r="R584" i="5"/>
  <c r="Q584" i="5"/>
  <c r="T584" i="5" s="1"/>
  <c r="S583" i="5"/>
  <c r="R583" i="5"/>
  <c r="Q583" i="5"/>
  <c r="T582" i="5"/>
  <c r="S582" i="5"/>
  <c r="R582" i="5"/>
  <c r="Q582" i="5"/>
  <c r="S581" i="5"/>
  <c r="R581" i="5"/>
  <c r="Q581" i="5"/>
  <c r="T581" i="5" s="1"/>
  <c r="S580" i="5"/>
  <c r="R580" i="5"/>
  <c r="T580" i="5" s="1"/>
  <c r="Q580" i="5"/>
  <c r="S579" i="5"/>
  <c r="R579" i="5"/>
  <c r="Q579" i="5"/>
  <c r="T579" i="5" s="1"/>
  <c r="T578" i="5"/>
  <c r="S578" i="5"/>
  <c r="R578" i="5"/>
  <c r="Q578" i="5"/>
  <c r="S577" i="5"/>
  <c r="R577" i="5"/>
  <c r="Q577" i="5"/>
  <c r="T577" i="5" s="1"/>
  <c r="S576" i="5"/>
  <c r="R576" i="5"/>
  <c r="Q576" i="5"/>
  <c r="T576" i="5" s="1"/>
  <c r="S575" i="5"/>
  <c r="R575" i="5"/>
  <c r="Q575" i="5"/>
  <c r="T574" i="5"/>
  <c r="S574" i="5"/>
  <c r="R574" i="5"/>
  <c r="Q574" i="5"/>
  <c r="S573" i="5"/>
  <c r="R573" i="5"/>
  <c r="Q573" i="5"/>
  <c r="T573" i="5" s="1"/>
  <c r="S572" i="5"/>
  <c r="R572" i="5"/>
  <c r="Q572" i="5"/>
  <c r="S571" i="5"/>
  <c r="R571" i="5"/>
  <c r="T571" i="5" s="1"/>
  <c r="Q571" i="5"/>
  <c r="T570" i="5"/>
  <c r="S570" i="5"/>
  <c r="R570" i="5"/>
  <c r="Q570" i="5"/>
  <c r="S569" i="5"/>
  <c r="R569" i="5"/>
  <c r="Q569" i="5"/>
  <c r="T569" i="5" s="1"/>
  <c r="S568" i="5"/>
  <c r="R568" i="5"/>
  <c r="Q568" i="5"/>
  <c r="T568" i="5" s="1"/>
  <c r="S567" i="5"/>
  <c r="R567" i="5"/>
  <c r="Q567" i="5"/>
  <c r="T566" i="5"/>
  <c r="S566" i="5"/>
  <c r="R566" i="5"/>
  <c r="Q566" i="5"/>
  <c r="S565" i="5"/>
  <c r="R565" i="5"/>
  <c r="Q565" i="5"/>
  <c r="T565" i="5" s="1"/>
  <c r="S564" i="5"/>
  <c r="R564" i="5"/>
  <c r="Q564" i="5"/>
  <c r="S563" i="5"/>
  <c r="R563" i="5"/>
  <c r="Q563" i="5"/>
  <c r="T563" i="5" s="1"/>
  <c r="T562" i="5"/>
  <c r="S562" i="5"/>
  <c r="R562" i="5"/>
  <c r="Q562" i="5"/>
  <c r="S561" i="5"/>
  <c r="R561" i="5"/>
  <c r="Q561" i="5"/>
  <c r="T561" i="5" s="1"/>
  <c r="S560" i="5"/>
  <c r="R560" i="5"/>
  <c r="Q560" i="5"/>
  <c r="T560" i="5" s="1"/>
  <c r="S559" i="5"/>
  <c r="R559" i="5"/>
  <c r="Q559" i="5"/>
  <c r="T558" i="5"/>
  <c r="S558" i="5"/>
  <c r="R558" i="5"/>
  <c r="Q558" i="5"/>
  <c r="S557" i="5"/>
  <c r="R557" i="5"/>
  <c r="Q557" i="5"/>
  <c r="T557" i="5" s="1"/>
  <c r="S556" i="5"/>
  <c r="R556" i="5"/>
  <c r="Q556" i="5"/>
  <c r="S555" i="5"/>
  <c r="R555" i="5"/>
  <c r="Q555" i="5"/>
  <c r="T555" i="5" s="1"/>
  <c r="T554" i="5"/>
  <c r="S554" i="5"/>
  <c r="R554" i="5"/>
  <c r="Q554" i="5"/>
  <c r="S553" i="5"/>
  <c r="R553" i="5"/>
  <c r="Q553" i="5"/>
  <c r="T553" i="5" s="1"/>
  <c r="S552" i="5"/>
  <c r="R552" i="5"/>
  <c r="Q552" i="5"/>
  <c r="T552" i="5" s="1"/>
  <c r="S551" i="5"/>
  <c r="R551" i="5"/>
  <c r="Q551" i="5"/>
  <c r="T550" i="5"/>
  <c r="S550" i="5"/>
  <c r="R550" i="5"/>
  <c r="Q550" i="5"/>
  <c r="S549" i="5"/>
  <c r="R549" i="5"/>
  <c r="Q549" i="5"/>
  <c r="T549" i="5" s="1"/>
  <c r="S548" i="5"/>
  <c r="R548" i="5"/>
  <c r="Q548" i="5"/>
  <c r="S547" i="5"/>
  <c r="R547" i="5"/>
  <c r="Q547" i="5"/>
  <c r="T547" i="5" s="1"/>
  <c r="T546" i="5"/>
  <c r="S546" i="5"/>
  <c r="R546" i="5"/>
  <c r="Q546" i="5"/>
  <c r="S545" i="5"/>
  <c r="R545" i="5"/>
  <c r="Q545" i="5"/>
  <c r="T545" i="5" s="1"/>
  <c r="S544" i="5"/>
  <c r="R544" i="5"/>
  <c r="Q544" i="5"/>
  <c r="T544" i="5" s="1"/>
  <c r="S543" i="5"/>
  <c r="R543" i="5"/>
  <c r="Q543" i="5"/>
  <c r="T542" i="5"/>
  <c r="S542" i="5"/>
  <c r="R542" i="5"/>
  <c r="Q542" i="5"/>
  <c r="S541" i="5"/>
  <c r="R541" i="5"/>
  <c r="Q541" i="5"/>
  <c r="T541" i="5" s="1"/>
  <c r="S540" i="5"/>
  <c r="R540" i="5"/>
  <c r="Q540" i="5"/>
  <c r="S539" i="5"/>
  <c r="R539" i="5"/>
  <c r="Q539" i="5"/>
  <c r="T539" i="5" s="1"/>
  <c r="T538" i="5"/>
  <c r="S538" i="5"/>
  <c r="R538" i="5"/>
  <c r="Q538" i="5"/>
  <c r="S537" i="5"/>
  <c r="R537" i="5"/>
  <c r="Q537" i="5"/>
  <c r="T537" i="5" s="1"/>
  <c r="S536" i="5"/>
  <c r="R536" i="5"/>
  <c r="Q536" i="5"/>
  <c r="T536" i="5" s="1"/>
  <c r="S535" i="5"/>
  <c r="R535" i="5"/>
  <c r="Q535" i="5"/>
  <c r="T534" i="5"/>
  <c r="S534" i="5"/>
  <c r="R534" i="5"/>
  <c r="Q534" i="5"/>
  <c r="S533" i="5"/>
  <c r="R533" i="5"/>
  <c r="Q533" i="5"/>
  <c r="T533" i="5" s="1"/>
  <c r="S532" i="5"/>
  <c r="R532" i="5"/>
  <c r="Q532" i="5"/>
  <c r="S531" i="5"/>
  <c r="R531" i="5"/>
  <c r="Q531" i="5"/>
  <c r="T531" i="5" s="1"/>
  <c r="T530" i="5"/>
  <c r="S530" i="5"/>
  <c r="R530" i="5"/>
  <c r="Q530" i="5"/>
  <c r="S529" i="5"/>
  <c r="R529" i="5"/>
  <c r="Q529" i="5"/>
  <c r="T529" i="5" s="1"/>
  <c r="S528" i="5"/>
  <c r="R528" i="5"/>
  <c r="Q528" i="5"/>
  <c r="T528" i="5" s="1"/>
  <c r="S527" i="5"/>
  <c r="R527" i="5"/>
  <c r="Q527" i="5"/>
  <c r="T526" i="5"/>
  <c r="S526" i="5"/>
  <c r="R526" i="5"/>
  <c r="Q526" i="5"/>
  <c r="S525" i="5"/>
  <c r="R525" i="5"/>
  <c r="Q525" i="5"/>
  <c r="T525" i="5" s="1"/>
  <c r="S524" i="5"/>
  <c r="R524" i="5"/>
  <c r="Q524" i="5"/>
  <c r="S523" i="5"/>
  <c r="R523" i="5"/>
  <c r="Q523" i="5"/>
  <c r="T523" i="5" s="1"/>
  <c r="T522" i="5"/>
  <c r="S522" i="5"/>
  <c r="R522" i="5"/>
  <c r="Q522" i="5"/>
  <c r="S521" i="5"/>
  <c r="R521" i="5"/>
  <c r="Q521" i="5"/>
  <c r="T521" i="5" s="1"/>
  <c r="S520" i="5"/>
  <c r="R520" i="5"/>
  <c r="Q520" i="5"/>
  <c r="T520" i="5" s="1"/>
  <c r="S519" i="5"/>
  <c r="R519" i="5"/>
  <c r="Q519" i="5"/>
  <c r="T518" i="5"/>
  <c r="S518" i="5"/>
  <c r="R518" i="5"/>
  <c r="Q518" i="5"/>
  <c r="S517" i="5"/>
  <c r="R517" i="5"/>
  <c r="Q517" i="5"/>
  <c r="T517" i="5" s="1"/>
  <c r="S516" i="5"/>
  <c r="R516" i="5"/>
  <c r="Q516" i="5"/>
  <c r="S515" i="5"/>
  <c r="R515" i="5"/>
  <c r="Q515" i="5"/>
  <c r="T515" i="5" s="1"/>
  <c r="T514" i="5"/>
  <c r="S514" i="5"/>
  <c r="R514" i="5"/>
  <c r="Q514" i="5"/>
  <c r="S513" i="5"/>
  <c r="R513" i="5"/>
  <c r="Q513" i="5"/>
  <c r="T513" i="5" s="1"/>
  <c r="S512" i="5"/>
  <c r="R512" i="5"/>
  <c r="Q512" i="5"/>
  <c r="T512" i="5" s="1"/>
  <c r="S511" i="5"/>
  <c r="R511" i="5"/>
  <c r="Q511" i="5"/>
  <c r="T510" i="5"/>
  <c r="S510" i="5"/>
  <c r="R510" i="5"/>
  <c r="Q510" i="5"/>
  <c r="S509" i="5"/>
  <c r="R509" i="5"/>
  <c r="Q509" i="5"/>
  <c r="T509" i="5" s="1"/>
  <c r="S508" i="5"/>
  <c r="R508" i="5"/>
  <c r="Q508" i="5"/>
  <c r="S507" i="5"/>
  <c r="R507" i="5"/>
  <c r="Q507" i="5"/>
  <c r="T507" i="5" s="1"/>
  <c r="T506" i="5"/>
  <c r="S506" i="5"/>
  <c r="R506" i="5"/>
  <c r="Q506" i="5"/>
  <c r="S505" i="5"/>
  <c r="R505" i="5"/>
  <c r="Q505" i="5"/>
  <c r="T505" i="5" s="1"/>
  <c r="S504" i="5"/>
  <c r="R504" i="5"/>
  <c r="Q504" i="5"/>
  <c r="T504" i="5" s="1"/>
  <c r="S503" i="5"/>
  <c r="R503" i="5"/>
  <c r="Q503" i="5"/>
  <c r="T502" i="5"/>
  <c r="S502" i="5"/>
  <c r="R502" i="5"/>
  <c r="Q502" i="5"/>
  <c r="S501" i="5"/>
  <c r="R501" i="5"/>
  <c r="Q501" i="5"/>
  <c r="T501" i="5" s="1"/>
  <c r="S500" i="5"/>
  <c r="R500" i="5"/>
  <c r="Q500" i="5"/>
  <c r="S499" i="5"/>
  <c r="R499" i="5"/>
  <c r="Q499" i="5"/>
  <c r="T499" i="5" s="1"/>
  <c r="T498" i="5"/>
  <c r="S498" i="5"/>
  <c r="R498" i="5"/>
  <c r="Q498" i="5"/>
  <c r="S497" i="5"/>
  <c r="R497" i="5"/>
  <c r="Q497" i="5"/>
  <c r="T497" i="5" s="1"/>
  <c r="S496" i="5"/>
  <c r="R496" i="5"/>
  <c r="Q496" i="5"/>
  <c r="T496" i="5" s="1"/>
  <c r="S495" i="5"/>
  <c r="R495" i="5"/>
  <c r="Q495" i="5"/>
  <c r="T494" i="5"/>
  <c r="S494" i="5"/>
  <c r="R494" i="5"/>
  <c r="Q494" i="5"/>
  <c r="S493" i="5"/>
  <c r="R493" i="5"/>
  <c r="Q493" i="5"/>
  <c r="T493" i="5" s="1"/>
  <c r="S492" i="5"/>
  <c r="R492" i="5"/>
  <c r="Q492" i="5"/>
  <c r="S491" i="5"/>
  <c r="R491" i="5"/>
  <c r="Q491" i="5"/>
  <c r="T491" i="5" s="1"/>
  <c r="T490" i="5"/>
  <c r="S490" i="5"/>
  <c r="R490" i="5"/>
  <c r="Q490" i="5"/>
  <c r="S489" i="5"/>
  <c r="R489" i="5"/>
  <c r="Q489" i="5"/>
  <c r="T489" i="5" s="1"/>
  <c r="S488" i="5"/>
  <c r="R488" i="5"/>
  <c r="Q488" i="5"/>
  <c r="T488" i="5" s="1"/>
  <c r="S487" i="5"/>
  <c r="R487" i="5"/>
  <c r="Q487" i="5"/>
  <c r="T486" i="5"/>
  <c r="S486" i="5"/>
  <c r="R486" i="5"/>
  <c r="Q486" i="5"/>
  <c r="S485" i="5"/>
  <c r="R485" i="5"/>
  <c r="Q485" i="5"/>
  <c r="T485" i="5" s="1"/>
  <c r="S484" i="5"/>
  <c r="R484" i="5"/>
  <c r="Q484" i="5"/>
  <c r="S483" i="5"/>
  <c r="R483" i="5"/>
  <c r="Q483" i="5"/>
  <c r="T483" i="5" s="1"/>
  <c r="T482" i="5"/>
  <c r="S482" i="5"/>
  <c r="R482" i="5"/>
  <c r="Q482" i="5"/>
  <c r="S481" i="5"/>
  <c r="R481" i="5"/>
  <c r="Q481" i="5"/>
  <c r="T481" i="5" s="1"/>
  <c r="S480" i="5"/>
  <c r="R480" i="5"/>
  <c r="Q480" i="5"/>
  <c r="T480" i="5" s="1"/>
  <c r="S479" i="5"/>
  <c r="R479" i="5"/>
  <c r="Q479" i="5"/>
  <c r="T478" i="5"/>
  <c r="S478" i="5"/>
  <c r="R478" i="5"/>
  <c r="Q478" i="5"/>
  <c r="S477" i="5"/>
  <c r="R477" i="5"/>
  <c r="Q477" i="5"/>
  <c r="T477" i="5" s="1"/>
  <c r="S476" i="5"/>
  <c r="R476" i="5"/>
  <c r="Q476" i="5"/>
  <c r="S475" i="5"/>
  <c r="R475" i="5"/>
  <c r="Q475" i="5"/>
  <c r="T475" i="5" s="1"/>
  <c r="T474" i="5"/>
  <c r="S474" i="5"/>
  <c r="R474" i="5"/>
  <c r="Q474" i="5"/>
  <c r="S473" i="5"/>
  <c r="R473" i="5"/>
  <c r="Q473" i="5"/>
  <c r="T473" i="5" s="1"/>
  <c r="S472" i="5"/>
  <c r="R472" i="5"/>
  <c r="Q472" i="5"/>
  <c r="T472" i="5" s="1"/>
  <c r="S471" i="5"/>
  <c r="R471" i="5"/>
  <c r="Q471" i="5"/>
  <c r="T470" i="5"/>
  <c r="S470" i="5"/>
  <c r="R470" i="5"/>
  <c r="Q470" i="5"/>
  <c r="S469" i="5"/>
  <c r="R469" i="5"/>
  <c r="Q469" i="5"/>
  <c r="T469" i="5" s="1"/>
  <c r="S468" i="5"/>
  <c r="R468" i="5"/>
  <c r="Q468" i="5"/>
  <c r="S467" i="5"/>
  <c r="R467" i="5"/>
  <c r="Q467" i="5"/>
  <c r="T467" i="5" s="1"/>
  <c r="T466" i="5"/>
  <c r="S466" i="5"/>
  <c r="R466" i="5"/>
  <c r="Q466" i="5"/>
  <c r="S465" i="5"/>
  <c r="R465" i="5"/>
  <c r="Q465" i="5"/>
  <c r="T465" i="5" s="1"/>
  <c r="S464" i="5"/>
  <c r="R464" i="5"/>
  <c r="Q464" i="5"/>
  <c r="T464" i="5" s="1"/>
  <c r="S463" i="5"/>
  <c r="R463" i="5"/>
  <c r="Q463" i="5"/>
  <c r="T462" i="5"/>
  <c r="S462" i="5"/>
  <c r="R462" i="5"/>
  <c r="Q462" i="5"/>
  <c r="S461" i="5"/>
  <c r="R461" i="5"/>
  <c r="Q461" i="5"/>
  <c r="T461" i="5" s="1"/>
  <c r="S460" i="5"/>
  <c r="R460" i="5"/>
  <c r="Q460" i="5"/>
  <c r="S459" i="5"/>
  <c r="R459" i="5"/>
  <c r="Q459" i="5"/>
  <c r="T459" i="5" s="1"/>
  <c r="T458" i="5"/>
  <c r="S458" i="5"/>
  <c r="R458" i="5"/>
  <c r="Q458" i="5"/>
  <c r="S457" i="5"/>
  <c r="R457" i="5"/>
  <c r="Q457" i="5"/>
  <c r="T457" i="5" s="1"/>
  <c r="S456" i="5"/>
  <c r="R456" i="5"/>
  <c r="Q456" i="5"/>
  <c r="T456" i="5" s="1"/>
  <c r="S455" i="5"/>
  <c r="R455" i="5"/>
  <c r="Q455" i="5"/>
  <c r="T454" i="5"/>
  <c r="S454" i="5"/>
  <c r="R454" i="5"/>
  <c r="Q454" i="5"/>
  <c r="S453" i="5"/>
  <c r="R453" i="5"/>
  <c r="Q453" i="5"/>
  <c r="T453" i="5" s="1"/>
  <c r="S452" i="5"/>
  <c r="R452" i="5"/>
  <c r="Q452" i="5"/>
  <c r="S451" i="5"/>
  <c r="R451" i="5"/>
  <c r="Q451" i="5"/>
  <c r="T451" i="5" s="1"/>
  <c r="T450" i="5"/>
  <c r="S450" i="5"/>
  <c r="R450" i="5"/>
  <c r="Q450" i="5"/>
  <c r="S449" i="5"/>
  <c r="R449" i="5"/>
  <c r="Q449" i="5"/>
  <c r="T449" i="5" s="1"/>
  <c r="S448" i="5"/>
  <c r="R448" i="5"/>
  <c r="Q448" i="5"/>
  <c r="T448" i="5" s="1"/>
  <c r="S447" i="5"/>
  <c r="R447" i="5"/>
  <c r="Q447" i="5"/>
  <c r="T446" i="5"/>
  <c r="S446" i="5"/>
  <c r="R446" i="5"/>
  <c r="Q446" i="5"/>
  <c r="S445" i="5"/>
  <c r="R445" i="5"/>
  <c r="Q445" i="5"/>
  <c r="T445" i="5" s="1"/>
  <c r="S444" i="5"/>
  <c r="R444" i="5"/>
  <c r="Q444" i="5"/>
  <c r="S443" i="5"/>
  <c r="R443" i="5"/>
  <c r="Q443" i="5"/>
  <c r="T443" i="5" s="1"/>
  <c r="T442" i="5"/>
  <c r="S442" i="5"/>
  <c r="R442" i="5"/>
  <c r="Q442" i="5"/>
  <c r="S441" i="5"/>
  <c r="R441" i="5"/>
  <c r="Q441" i="5"/>
  <c r="T441" i="5" s="1"/>
  <c r="S440" i="5"/>
  <c r="R440" i="5"/>
  <c r="Q440" i="5"/>
  <c r="T440" i="5" s="1"/>
  <c r="S439" i="5"/>
  <c r="R439" i="5"/>
  <c r="Q439" i="5"/>
  <c r="T438" i="5"/>
  <c r="S438" i="5"/>
  <c r="R438" i="5"/>
  <c r="Q438" i="5"/>
  <c r="S437" i="5"/>
  <c r="R437" i="5"/>
  <c r="Q437" i="5"/>
  <c r="T437" i="5" s="1"/>
  <c r="S436" i="5"/>
  <c r="R436" i="5"/>
  <c r="Q436" i="5"/>
  <c r="S435" i="5"/>
  <c r="R435" i="5"/>
  <c r="Q435" i="5"/>
  <c r="T435" i="5" s="1"/>
  <c r="T434" i="5"/>
  <c r="S434" i="5"/>
  <c r="R434" i="5"/>
  <c r="Q434" i="5"/>
  <c r="S433" i="5"/>
  <c r="R433" i="5"/>
  <c r="Q433" i="5"/>
  <c r="T433" i="5" s="1"/>
  <c r="S432" i="5"/>
  <c r="R432" i="5"/>
  <c r="Q432" i="5"/>
  <c r="T432" i="5" s="1"/>
  <c r="S431" i="5"/>
  <c r="R431" i="5"/>
  <c r="Q431" i="5"/>
  <c r="T430" i="5"/>
  <c r="S430" i="5"/>
  <c r="R430" i="5"/>
  <c r="Q430" i="5"/>
  <c r="S429" i="5"/>
  <c r="R429" i="5"/>
  <c r="Q429" i="5"/>
  <c r="T429" i="5" s="1"/>
  <c r="S428" i="5"/>
  <c r="R428" i="5"/>
  <c r="Q428" i="5"/>
  <c r="S427" i="5"/>
  <c r="R427" i="5"/>
  <c r="Q427" i="5"/>
  <c r="T427" i="5" s="1"/>
  <c r="T426" i="5"/>
  <c r="S426" i="5"/>
  <c r="R426" i="5"/>
  <c r="Q426" i="5"/>
  <c r="S425" i="5"/>
  <c r="R425" i="5"/>
  <c r="Q425" i="5"/>
  <c r="T425" i="5" s="1"/>
  <c r="S424" i="5"/>
  <c r="R424" i="5"/>
  <c r="Q424" i="5"/>
  <c r="T424" i="5" s="1"/>
  <c r="S423" i="5"/>
  <c r="R423" i="5"/>
  <c r="Q423" i="5"/>
  <c r="T423" i="5" s="1"/>
  <c r="S422" i="5"/>
  <c r="R422" i="5"/>
  <c r="T422" i="5" s="1"/>
  <c r="Q422" i="5"/>
  <c r="S421" i="5"/>
  <c r="T421" i="5" s="1"/>
  <c r="R421" i="5"/>
  <c r="Q421" i="5"/>
  <c r="T420" i="5"/>
  <c r="S420" i="5"/>
  <c r="R420" i="5"/>
  <c r="Q420" i="5"/>
  <c r="S419" i="5"/>
  <c r="R419" i="5"/>
  <c r="Q419" i="5"/>
  <c r="T419" i="5" s="1"/>
  <c r="S418" i="5"/>
  <c r="R418" i="5"/>
  <c r="T418" i="5" s="1"/>
  <c r="Q418" i="5"/>
  <c r="S417" i="5"/>
  <c r="T417" i="5" s="1"/>
  <c r="R417" i="5"/>
  <c r="Q417" i="5"/>
  <c r="T416" i="5"/>
  <c r="S416" i="5"/>
  <c r="R416" i="5"/>
  <c r="Q416" i="5"/>
  <c r="S415" i="5"/>
  <c r="R415" i="5"/>
  <c r="Q415" i="5"/>
  <c r="T415" i="5" s="1"/>
  <c r="S414" i="5"/>
  <c r="R414" i="5"/>
  <c r="T414" i="5" s="1"/>
  <c r="Q414" i="5"/>
  <c r="S413" i="5"/>
  <c r="T413" i="5" s="1"/>
  <c r="R413" i="5"/>
  <c r="Q413" i="5"/>
  <c r="T412" i="5"/>
  <c r="S412" i="5"/>
  <c r="R412" i="5"/>
  <c r="Q412" i="5"/>
  <c r="S411" i="5"/>
  <c r="R411" i="5"/>
  <c r="Q411" i="5"/>
  <c r="T411" i="5" s="1"/>
  <c r="S410" i="5"/>
  <c r="R410" i="5"/>
  <c r="T410" i="5" s="1"/>
  <c r="Q410" i="5"/>
  <c r="S409" i="5"/>
  <c r="T409" i="5" s="1"/>
  <c r="R409" i="5"/>
  <c r="Q409" i="5"/>
  <c r="T408" i="5"/>
  <c r="S408" i="5"/>
  <c r="R408" i="5"/>
  <c r="Q408" i="5"/>
  <c r="S407" i="5"/>
  <c r="R407" i="5"/>
  <c r="Q407" i="5"/>
  <c r="T407" i="5" s="1"/>
  <c r="S406" i="5"/>
  <c r="R406" i="5"/>
  <c r="T406" i="5" s="1"/>
  <c r="Q406" i="5"/>
  <c r="S405" i="5"/>
  <c r="T405" i="5" s="1"/>
  <c r="R405" i="5"/>
  <c r="Q405" i="5"/>
  <c r="T404" i="5"/>
  <c r="S404" i="5"/>
  <c r="R404" i="5"/>
  <c r="Q404" i="5"/>
  <c r="S403" i="5"/>
  <c r="R403" i="5"/>
  <c r="Q403" i="5"/>
  <c r="T403" i="5" s="1"/>
  <c r="S402" i="5"/>
  <c r="R402" i="5"/>
  <c r="T402" i="5" s="1"/>
  <c r="Q402" i="5"/>
  <c r="S401" i="5"/>
  <c r="T401" i="5" s="1"/>
  <c r="R401" i="5"/>
  <c r="Q401" i="5"/>
  <c r="T400" i="5"/>
  <c r="S400" i="5"/>
  <c r="R400" i="5"/>
  <c r="Q400" i="5"/>
  <c r="S399" i="5"/>
  <c r="R399" i="5"/>
  <c r="Q399" i="5"/>
  <c r="T399" i="5" s="1"/>
  <c r="S398" i="5"/>
  <c r="R398" i="5"/>
  <c r="T398" i="5" s="1"/>
  <c r="Q398" i="5"/>
  <c r="S397" i="5"/>
  <c r="T397" i="5" s="1"/>
  <c r="R397" i="5"/>
  <c r="Q397" i="5"/>
  <c r="T396" i="5"/>
  <c r="S396" i="5"/>
  <c r="R396" i="5"/>
  <c r="Q396" i="5"/>
  <c r="S395" i="5"/>
  <c r="R395" i="5"/>
  <c r="Q395" i="5"/>
  <c r="T395" i="5" s="1"/>
  <c r="S394" i="5"/>
  <c r="R394" i="5"/>
  <c r="T394" i="5" s="1"/>
  <c r="Q394" i="5"/>
  <c r="S393" i="5"/>
  <c r="T393" i="5" s="1"/>
  <c r="R393" i="5"/>
  <c r="Q393" i="5"/>
  <c r="T392" i="5"/>
  <c r="S392" i="5"/>
  <c r="R392" i="5"/>
  <c r="Q392" i="5"/>
  <c r="S391" i="5"/>
  <c r="R391" i="5"/>
  <c r="Q391" i="5"/>
  <c r="T391" i="5" s="1"/>
  <c r="S390" i="5"/>
  <c r="R390" i="5"/>
  <c r="T390" i="5" s="1"/>
  <c r="Q390" i="5"/>
  <c r="S389" i="5"/>
  <c r="T389" i="5" s="1"/>
  <c r="R389" i="5"/>
  <c r="Q389" i="5"/>
  <c r="T388" i="5"/>
  <c r="S388" i="5"/>
  <c r="R388" i="5"/>
  <c r="Q388" i="5"/>
  <c r="S387" i="5"/>
  <c r="R387" i="5"/>
  <c r="Q387" i="5"/>
  <c r="T387" i="5" s="1"/>
  <c r="S386" i="5"/>
  <c r="R386" i="5"/>
  <c r="T386" i="5" s="1"/>
  <c r="Q386" i="5"/>
  <c r="S385" i="5"/>
  <c r="T385" i="5" s="1"/>
  <c r="R385" i="5"/>
  <c r="Q385" i="5"/>
  <c r="S384" i="5"/>
  <c r="R384" i="5"/>
  <c r="Q384" i="5"/>
  <c r="T384" i="5" s="1"/>
  <c r="S383" i="5"/>
  <c r="R383" i="5"/>
  <c r="Q383" i="5"/>
  <c r="S382" i="5"/>
  <c r="R382" i="5"/>
  <c r="T382" i="5" s="1"/>
  <c r="Q382" i="5"/>
  <c r="T381" i="5"/>
  <c r="S381" i="5"/>
  <c r="R381" i="5"/>
  <c r="Q381" i="5"/>
  <c r="S380" i="5"/>
  <c r="R380" i="5"/>
  <c r="Q380" i="5"/>
  <c r="T380" i="5" s="1"/>
  <c r="S379" i="5"/>
  <c r="R379" i="5"/>
  <c r="Q379" i="5"/>
  <c r="S378" i="5"/>
  <c r="R378" i="5"/>
  <c r="T378" i="5" s="1"/>
  <c r="Q378" i="5"/>
  <c r="T377" i="5"/>
  <c r="S377" i="5"/>
  <c r="R377" i="5"/>
  <c r="Q377" i="5"/>
  <c r="S376" i="5"/>
  <c r="R376" i="5"/>
  <c r="Q376" i="5"/>
  <c r="T376" i="5" s="1"/>
  <c r="S375" i="5"/>
  <c r="R375" i="5"/>
  <c r="Q375" i="5"/>
  <c r="S374" i="5"/>
  <c r="R374" i="5"/>
  <c r="T374" i="5" s="1"/>
  <c r="Q374" i="5"/>
  <c r="T373" i="5"/>
  <c r="S373" i="5"/>
  <c r="R373" i="5"/>
  <c r="Q373" i="5"/>
  <c r="S372" i="5"/>
  <c r="R372" i="5"/>
  <c r="Q372" i="5"/>
  <c r="T372" i="5" s="1"/>
  <c r="S371" i="5"/>
  <c r="R371" i="5"/>
  <c r="Q371" i="5"/>
  <c r="S370" i="5"/>
  <c r="R370" i="5"/>
  <c r="T370" i="5" s="1"/>
  <c r="Q370" i="5"/>
  <c r="T369" i="5"/>
  <c r="S369" i="5"/>
  <c r="R369" i="5"/>
  <c r="Q369" i="5"/>
  <c r="S368" i="5"/>
  <c r="R368" i="5"/>
  <c r="Q368" i="5"/>
  <c r="T368" i="5" s="1"/>
  <c r="S367" i="5"/>
  <c r="R367" i="5"/>
  <c r="Q367" i="5"/>
  <c r="S366" i="5"/>
  <c r="R366" i="5"/>
  <c r="T366" i="5" s="1"/>
  <c r="Q366" i="5"/>
  <c r="T365" i="5"/>
  <c r="S365" i="5"/>
  <c r="R365" i="5"/>
  <c r="Q365" i="5"/>
  <c r="S364" i="5"/>
  <c r="R364" i="5"/>
  <c r="Q364" i="5"/>
  <c r="T364" i="5" s="1"/>
  <c r="S363" i="5"/>
  <c r="R363" i="5"/>
  <c r="Q363" i="5"/>
  <c r="S362" i="5"/>
  <c r="R362" i="5"/>
  <c r="T362" i="5" s="1"/>
  <c r="Q362" i="5"/>
  <c r="T361" i="5"/>
  <c r="S361" i="5"/>
  <c r="R361" i="5"/>
  <c r="Q361" i="5"/>
  <c r="S360" i="5"/>
  <c r="R360" i="5"/>
  <c r="Q360" i="5"/>
  <c r="T360" i="5" s="1"/>
  <c r="S359" i="5"/>
  <c r="R359" i="5"/>
  <c r="Q359" i="5"/>
  <c r="S358" i="5"/>
  <c r="R358" i="5"/>
  <c r="T358" i="5" s="1"/>
  <c r="Q358" i="5"/>
  <c r="T357" i="5"/>
  <c r="S357" i="5"/>
  <c r="R357" i="5"/>
  <c r="Q357" i="5"/>
  <c r="S356" i="5"/>
  <c r="R356" i="5"/>
  <c r="Q356" i="5"/>
  <c r="T356" i="5" s="1"/>
  <c r="S355" i="5"/>
  <c r="R355" i="5"/>
  <c r="Q355" i="5"/>
  <c r="S354" i="5"/>
  <c r="R354" i="5"/>
  <c r="T354" i="5" s="1"/>
  <c r="Q354" i="5"/>
  <c r="T353" i="5"/>
  <c r="S353" i="5"/>
  <c r="R353" i="5"/>
  <c r="Q353" i="5"/>
  <c r="S352" i="5"/>
  <c r="R352" i="5"/>
  <c r="Q352" i="5"/>
  <c r="T352" i="5" s="1"/>
  <c r="S351" i="5"/>
  <c r="R351" i="5"/>
  <c r="Q351" i="5"/>
  <c r="S350" i="5"/>
  <c r="R350" i="5"/>
  <c r="T350" i="5" s="1"/>
  <c r="Q350" i="5"/>
  <c r="T349" i="5"/>
  <c r="S349" i="5"/>
  <c r="R349" i="5"/>
  <c r="Q349" i="5"/>
  <c r="S348" i="5"/>
  <c r="R348" i="5"/>
  <c r="Q348" i="5"/>
  <c r="T348" i="5" s="1"/>
  <c r="S347" i="5"/>
  <c r="R347" i="5"/>
  <c r="Q347" i="5"/>
  <c r="S346" i="5"/>
  <c r="R346" i="5"/>
  <c r="T346" i="5" s="1"/>
  <c r="Q346" i="5"/>
  <c r="T345" i="5"/>
  <c r="S345" i="5"/>
  <c r="R345" i="5"/>
  <c r="Q345" i="5"/>
  <c r="S344" i="5"/>
  <c r="R344" i="5"/>
  <c r="Q344" i="5"/>
  <c r="T344" i="5" s="1"/>
  <c r="S343" i="5"/>
  <c r="R343" i="5"/>
  <c r="Q343" i="5"/>
  <c r="S342" i="5"/>
  <c r="R342" i="5"/>
  <c r="T342" i="5" s="1"/>
  <c r="Q342" i="5"/>
  <c r="T341" i="5"/>
  <c r="S341" i="5"/>
  <c r="R341" i="5"/>
  <c r="Q341" i="5"/>
  <c r="S340" i="5"/>
  <c r="R340" i="5"/>
  <c r="Q340" i="5"/>
  <c r="T340" i="5" s="1"/>
  <c r="S339" i="5"/>
  <c r="R339" i="5"/>
  <c r="Q339" i="5"/>
  <c r="S338" i="5"/>
  <c r="R338" i="5"/>
  <c r="T338" i="5" s="1"/>
  <c r="Q338" i="5"/>
  <c r="S337" i="5"/>
  <c r="R337" i="5"/>
  <c r="Q337" i="5"/>
  <c r="T337" i="5" s="1"/>
  <c r="S336" i="5"/>
  <c r="R336" i="5"/>
  <c r="Q336" i="5"/>
  <c r="T336" i="5" s="1"/>
  <c r="S335" i="5"/>
  <c r="R335" i="5"/>
  <c r="Q335" i="5"/>
  <c r="S334" i="5"/>
  <c r="R334" i="5"/>
  <c r="T334" i="5" s="1"/>
  <c r="Q334" i="5"/>
  <c r="S333" i="5"/>
  <c r="T333" i="5" s="1"/>
  <c r="R333" i="5"/>
  <c r="Q333" i="5"/>
  <c r="T332" i="5"/>
  <c r="S332" i="5"/>
  <c r="R332" i="5"/>
  <c r="Q332" i="5"/>
  <c r="S331" i="5"/>
  <c r="R331" i="5"/>
  <c r="Q331" i="5"/>
  <c r="T331" i="5" s="1"/>
  <c r="T330" i="5"/>
  <c r="S330" i="5"/>
  <c r="R330" i="5"/>
  <c r="Q330" i="5"/>
  <c r="S329" i="5"/>
  <c r="R329" i="5"/>
  <c r="Q329" i="5"/>
  <c r="T329" i="5" s="1"/>
  <c r="S328" i="5"/>
  <c r="R328" i="5"/>
  <c r="Q328" i="5"/>
  <c r="T328" i="5" s="1"/>
  <c r="S327" i="5"/>
  <c r="T327" i="5" s="1"/>
  <c r="R327" i="5"/>
  <c r="Q327" i="5"/>
  <c r="T326" i="5"/>
  <c r="S326" i="5"/>
  <c r="R326" i="5"/>
  <c r="Q326" i="5"/>
  <c r="S325" i="5"/>
  <c r="R325" i="5"/>
  <c r="Q325" i="5"/>
  <c r="T325" i="5" s="1"/>
  <c r="S324" i="5"/>
  <c r="R324" i="5"/>
  <c r="Q324" i="5"/>
  <c r="T324" i="5" s="1"/>
  <c r="S323" i="5"/>
  <c r="T323" i="5" s="1"/>
  <c r="R323" i="5"/>
  <c r="Q323" i="5"/>
  <c r="T322" i="5"/>
  <c r="S322" i="5"/>
  <c r="R322" i="5"/>
  <c r="Q322" i="5"/>
  <c r="S321" i="5"/>
  <c r="R321" i="5"/>
  <c r="Q321" i="5"/>
  <c r="T321" i="5" s="1"/>
  <c r="S320" i="5"/>
  <c r="R320" i="5"/>
  <c r="Q320" i="5"/>
  <c r="S319" i="5"/>
  <c r="T319" i="5" s="1"/>
  <c r="R319" i="5"/>
  <c r="Q319" i="5"/>
  <c r="T318" i="5"/>
  <c r="S318" i="5"/>
  <c r="R318" i="5"/>
  <c r="Q318" i="5"/>
  <c r="S317" i="5"/>
  <c r="R317" i="5"/>
  <c r="Q317" i="5"/>
  <c r="T317" i="5" s="1"/>
  <c r="S316" i="5"/>
  <c r="R316" i="5"/>
  <c r="Q316" i="5"/>
  <c r="S315" i="5"/>
  <c r="T315" i="5" s="1"/>
  <c r="R315" i="5"/>
  <c r="Q315" i="5"/>
  <c r="T314" i="5"/>
  <c r="S314" i="5"/>
  <c r="R314" i="5"/>
  <c r="Q314" i="5"/>
  <c r="S313" i="5"/>
  <c r="R313" i="5"/>
  <c r="Q313" i="5"/>
  <c r="T313" i="5" s="1"/>
  <c r="S312" i="5"/>
  <c r="R312" i="5"/>
  <c r="Q312" i="5"/>
  <c r="S311" i="5"/>
  <c r="T311" i="5" s="1"/>
  <c r="R311" i="5"/>
  <c r="Q311" i="5"/>
  <c r="T310" i="5"/>
  <c r="S310" i="5"/>
  <c r="R310" i="5"/>
  <c r="Q310" i="5"/>
  <c r="S309" i="5"/>
  <c r="R309" i="5"/>
  <c r="Q309" i="5"/>
  <c r="T309" i="5" s="1"/>
  <c r="S308" i="5"/>
  <c r="R308" i="5"/>
  <c r="Q308" i="5"/>
  <c r="T308" i="5" s="1"/>
  <c r="T307" i="5"/>
  <c r="S307" i="5"/>
  <c r="R307" i="5"/>
  <c r="Q307" i="5"/>
  <c r="S306" i="5"/>
  <c r="R306" i="5"/>
  <c r="Q306" i="5"/>
  <c r="T306" i="5" s="1"/>
  <c r="S305" i="5"/>
  <c r="R305" i="5"/>
  <c r="T305" i="5" s="1"/>
  <c r="Q305" i="5"/>
  <c r="S304" i="5"/>
  <c r="R304" i="5"/>
  <c r="Q304" i="5"/>
  <c r="S303" i="5"/>
  <c r="R303" i="5"/>
  <c r="T303" i="5" s="1"/>
  <c r="Q303" i="5"/>
  <c r="S302" i="5"/>
  <c r="T302" i="5" s="1"/>
  <c r="R302" i="5"/>
  <c r="Q302" i="5"/>
  <c r="T301" i="5"/>
  <c r="S301" i="5"/>
  <c r="R301" i="5"/>
  <c r="Q301" i="5"/>
  <c r="S300" i="5"/>
  <c r="R300" i="5"/>
  <c r="Q300" i="5"/>
  <c r="T300" i="5" s="1"/>
  <c r="T299" i="5"/>
  <c r="S299" i="5"/>
  <c r="R299" i="5"/>
  <c r="Q299" i="5"/>
  <c r="S298" i="5"/>
  <c r="R298" i="5"/>
  <c r="Q298" i="5"/>
  <c r="T298" i="5" s="1"/>
  <c r="S297" i="5"/>
  <c r="R297" i="5"/>
  <c r="T297" i="5" s="1"/>
  <c r="Q297" i="5"/>
  <c r="S296" i="5"/>
  <c r="R296" i="5"/>
  <c r="Q296" i="5"/>
  <c r="S295" i="5"/>
  <c r="R295" i="5"/>
  <c r="T295" i="5" s="1"/>
  <c r="Q295" i="5"/>
  <c r="S294" i="5"/>
  <c r="T294" i="5" s="1"/>
  <c r="R294" i="5"/>
  <c r="Q294" i="5"/>
  <c r="T293" i="5"/>
  <c r="S293" i="5"/>
  <c r="R293" i="5"/>
  <c r="Q293" i="5"/>
  <c r="S292" i="5"/>
  <c r="R292" i="5"/>
  <c r="Q292" i="5"/>
  <c r="T292" i="5" s="1"/>
  <c r="T291" i="5"/>
  <c r="S291" i="5"/>
  <c r="R291" i="5"/>
  <c r="Q291" i="5"/>
  <c r="S290" i="5"/>
  <c r="R290" i="5"/>
  <c r="Q290" i="5"/>
  <c r="T290" i="5" s="1"/>
  <c r="S289" i="5"/>
  <c r="R289" i="5"/>
  <c r="T289" i="5" s="1"/>
  <c r="Q289" i="5"/>
  <c r="S288" i="5"/>
  <c r="R288" i="5"/>
  <c r="Q288" i="5"/>
  <c r="S287" i="5"/>
  <c r="R287" i="5"/>
  <c r="T287" i="5" s="1"/>
  <c r="Q287" i="5"/>
  <c r="S286" i="5"/>
  <c r="T286" i="5" s="1"/>
  <c r="R286" i="5"/>
  <c r="Q286" i="5"/>
  <c r="T285" i="5"/>
  <c r="S285" i="5"/>
  <c r="R285" i="5"/>
  <c r="Q285" i="5"/>
  <c r="S284" i="5"/>
  <c r="R284" i="5"/>
  <c r="Q284" i="5"/>
  <c r="T284" i="5" s="1"/>
  <c r="T283" i="5"/>
  <c r="S283" i="5"/>
  <c r="R283" i="5"/>
  <c r="Q283" i="5"/>
  <c r="S282" i="5"/>
  <c r="R282" i="5"/>
  <c r="Q282" i="5"/>
  <c r="T282" i="5" s="1"/>
  <c r="S281" i="5"/>
  <c r="R281" i="5"/>
  <c r="T281" i="5" s="1"/>
  <c r="Q281" i="5"/>
  <c r="S280" i="5"/>
  <c r="R280" i="5"/>
  <c r="Q280" i="5"/>
  <c r="S279" i="5"/>
  <c r="R279" i="5"/>
  <c r="T279" i="5" s="1"/>
  <c r="Q279" i="5"/>
  <c r="S278" i="5"/>
  <c r="T278" i="5" s="1"/>
  <c r="R278" i="5"/>
  <c r="Q278" i="5"/>
  <c r="T277" i="5"/>
  <c r="S277" i="5"/>
  <c r="R277" i="5"/>
  <c r="Q277" i="5"/>
  <c r="S276" i="5"/>
  <c r="R276" i="5"/>
  <c r="Q276" i="5"/>
  <c r="T276" i="5" s="1"/>
  <c r="T275" i="5"/>
  <c r="S275" i="5"/>
  <c r="R275" i="5"/>
  <c r="Q275" i="5"/>
  <c r="S274" i="5"/>
  <c r="R274" i="5"/>
  <c r="Q274" i="5"/>
  <c r="T274" i="5" s="1"/>
  <c r="S273" i="5"/>
  <c r="R273" i="5"/>
  <c r="T273" i="5" s="1"/>
  <c r="Q273" i="5"/>
  <c r="S272" i="5"/>
  <c r="R272" i="5"/>
  <c r="Q272" i="5"/>
  <c r="S271" i="5"/>
  <c r="R271" i="5"/>
  <c r="T271" i="5" s="1"/>
  <c r="Q271" i="5"/>
  <c r="S270" i="5"/>
  <c r="T270" i="5" s="1"/>
  <c r="R270" i="5"/>
  <c r="Q270" i="5"/>
  <c r="T269" i="5"/>
  <c r="S269" i="5"/>
  <c r="R269" i="5"/>
  <c r="Q269" i="5"/>
  <c r="S268" i="5"/>
  <c r="R268" i="5"/>
  <c r="Q268" i="5"/>
  <c r="T268" i="5" s="1"/>
  <c r="T267" i="5"/>
  <c r="S267" i="5"/>
  <c r="R267" i="5"/>
  <c r="Q267" i="5"/>
  <c r="S266" i="5"/>
  <c r="R266" i="5"/>
  <c r="Q266" i="5"/>
  <c r="T266" i="5" s="1"/>
  <c r="S265" i="5"/>
  <c r="R265" i="5"/>
  <c r="T265" i="5" s="1"/>
  <c r="Q265" i="5"/>
  <c r="S264" i="5"/>
  <c r="R264" i="5"/>
  <c r="Q264" i="5"/>
  <c r="S263" i="5"/>
  <c r="R263" i="5"/>
  <c r="T263" i="5" s="1"/>
  <c r="Q263" i="5"/>
  <c r="S262" i="5"/>
  <c r="T262" i="5" s="1"/>
  <c r="R262" i="5"/>
  <c r="Q262" i="5"/>
  <c r="T261" i="5"/>
  <c r="S261" i="5"/>
  <c r="R261" i="5"/>
  <c r="Q261" i="5"/>
  <c r="S260" i="5"/>
  <c r="R260" i="5"/>
  <c r="Q260" i="5"/>
  <c r="T260" i="5" s="1"/>
  <c r="T259" i="5"/>
  <c r="S259" i="5"/>
  <c r="R259" i="5"/>
  <c r="Q259" i="5"/>
  <c r="S258" i="5"/>
  <c r="R258" i="5"/>
  <c r="Q258" i="5"/>
  <c r="T258" i="5" s="1"/>
  <c r="S257" i="5"/>
  <c r="R257" i="5"/>
  <c r="T257" i="5" s="1"/>
  <c r="Q257" i="5"/>
  <c r="S256" i="5"/>
  <c r="R256" i="5"/>
  <c r="Q256" i="5"/>
  <c r="S255" i="5"/>
  <c r="T255" i="5" s="1"/>
  <c r="R255" i="5"/>
  <c r="Q255" i="5"/>
  <c r="T254" i="5"/>
  <c r="S254" i="5"/>
  <c r="R254" i="5"/>
  <c r="Q254" i="5"/>
  <c r="S253" i="5"/>
  <c r="R253" i="5"/>
  <c r="Q253" i="5"/>
  <c r="T253" i="5" s="1"/>
  <c r="S252" i="5"/>
  <c r="R252" i="5"/>
  <c r="T252" i="5" s="1"/>
  <c r="Q252" i="5"/>
  <c r="S251" i="5"/>
  <c r="T251" i="5" s="1"/>
  <c r="R251" i="5"/>
  <c r="Q251" i="5"/>
  <c r="T250" i="5"/>
  <c r="S250" i="5"/>
  <c r="R250" i="5"/>
  <c r="Q250" i="5"/>
  <c r="S249" i="5"/>
  <c r="R249" i="5"/>
  <c r="Q249" i="5"/>
  <c r="T249" i="5" s="1"/>
  <c r="S248" i="5"/>
  <c r="R248" i="5"/>
  <c r="T248" i="5" s="1"/>
  <c r="Q248" i="5"/>
  <c r="S247" i="5"/>
  <c r="T247" i="5" s="1"/>
  <c r="R247" i="5"/>
  <c r="Q247" i="5"/>
  <c r="T246" i="5"/>
  <c r="S246" i="5"/>
  <c r="R246" i="5"/>
  <c r="Q246" i="5"/>
  <c r="S245" i="5"/>
  <c r="R245" i="5"/>
  <c r="Q245" i="5"/>
  <c r="T245" i="5" s="1"/>
  <c r="S244" i="5"/>
  <c r="R244" i="5"/>
  <c r="T244" i="5" s="1"/>
  <c r="Q244" i="5"/>
  <c r="S243" i="5"/>
  <c r="T243" i="5" s="1"/>
  <c r="R243" i="5"/>
  <c r="Q243" i="5"/>
  <c r="T242" i="5"/>
  <c r="S242" i="5"/>
  <c r="R242" i="5"/>
  <c r="Q242" i="5"/>
  <c r="S241" i="5"/>
  <c r="R241" i="5"/>
  <c r="Q241" i="5"/>
  <c r="T241" i="5" s="1"/>
  <c r="S240" i="5"/>
  <c r="R240" i="5"/>
  <c r="Q240" i="5"/>
  <c r="T240" i="5" s="1"/>
  <c r="S239" i="5"/>
  <c r="T239" i="5" s="1"/>
  <c r="R239" i="5"/>
  <c r="Q239" i="5"/>
  <c r="T238" i="5"/>
  <c r="S238" i="5"/>
  <c r="R238" i="5"/>
  <c r="Q238" i="5"/>
  <c r="S237" i="5"/>
  <c r="R237" i="5"/>
  <c r="Q237" i="5"/>
  <c r="T237" i="5" s="1"/>
  <c r="S236" i="5"/>
  <c r="R236" i="5"/>
  <c r="Q236" i="5"/>
  <c r="T236" i="5" s="1"/>
  <c r="S235" i="5"/>
  <c r="T235" i="5" s="1"/>
  <c r="R235" i="5"/>
  <c r="Q235" i="5"/>
  <c r="T234" i="5"/>
  <c r="S234" i="5"/>
  <c r="R234" i="5"/>
  <c r="Q234" i="5"/>
  <c r="S233" i="5"/>
  <c r="R233" i="5"/>
  <c r="Q233" i="5"/>
  <c r="T233" i="5" s="1"/>
  <c r="S232" i="5"/>
  <c r="R232" i="5"/>
  <c r="Q232" i="5"/>
  <c r="T232" i="5" s="1"/>
  <c r="S231" i="5"/>
  <c r="T231" i="5" s="1"/>
  <c r="R231" i="5"/>
  <c r="Q231" i="5"/>
  <c r="T230" i="5"/>
  <c r="S230" i="5"/>
  <c r="R230" i="5"/>
  <c r="Q230" i="5"/>
  <c r="S229" i="5"/>
  <c r="R229" i="5"/>
  <c r="Q229" i="5"/>
  <c r="T229" i="5" s="1"/>
  <c r="S228" i="5"/>
  <c r="R228" i="5"/>
  <c r="Q228" i="5"/>
  <c r="T228" i="5" s="1"/>
  <c r="S227" i="5"/>
  <c r="T227" i="5" s="1"/>
  <c r="R227" i="5"/>
  <c r="Q227" i="5"/>
  <c r="T226" i="5"/>
  <c r="S226" i="5"/>
  <c r="R226" i="5"/>
  <c r="Q226" i="5"/>
  <c r="S225" i="5"/>
  <c r="R225" i="5"/>
  <c r="Q225" i="5"/>
  <c r="T225" i="5" s="1"/>
  <c r="S224" i="5"/>
  <c r="R224" i="5"/>
  <c r="Q224" i="5"/>
  <c r="T224" i="5" s="1"/>
  <c r="S223" i="5"/>
  <c r="T223" i="5" s="1"/>
  <c r="R223" i="5"/>
  <c r="Q223" i="5"/>
  <c r="T222" i="5"/>
  <c r="S222" i="5"/>
  <c r="R222" i="5"/>
  <c r="Q222" i="5"/>
  <c r="S221" i="5"/>
  <c r="R221" i="5"/>
  <c r="Q221" i="5"/>
  <c r="T221" i="5" s="1"/>
  <c r="S220" i="5"/>
  <c r="R220" i="5"/>
  <c r="Q220" i="5"/>
  <c r="T220" i="5" s="1"/>
  <c r="S219" i="5"/>
  <c r="T219" i="5" s="1"/>
  <c r="R219" i="5"/>
  <c r="Q219" i="5"/>
  <c r="T218" i="5"/>
  <c r="S218" i="5"/>
  <c r="R218" i="5"/>
  <c r="Q218" i="5"/>
  <c r="S217" i="5"/>
  <c r="R217" i="5"/>
  <c r="Q217" i="5"/>
  <c r="T217" i="5" s="1"/>
  <c r="S216" i="5"/>
  <c r="R216" i="5"/>
  <c r="Q216" i="5"/>
  <c r="T216" i="5" s="1"/>
  <c r="S215" i="5"/>
  <c r="T215" i="5" s="1"/>
  <c r="R215" i="5"/>
  <c r="Q215" i="5"/>
  <c r="T214" i="5"/>
  <c r="S214" i="5"/>
  <c r="R214" i="5"/>
  <c r="Q214" i="5"/>
  <c r="S213" i="5"/>
  <c r="R213" i="5"/>
  <c r="Q213" i="5"/>
  <c r="T213" i="5" s="1"/>
  <c r="S212" i="5"/>
  <c r="R212" i="5"/>
  <c r="Q212" i="5"/>
  <c r="T212" i="5" s="1"/>
  <c r="S211" i="5"/>
  <c r="T211" i="5" s="1"/>
  <c r="R211" i="5"/>
  <c r="Q211" i="5"/>
  <c r="T210" i="5"/>
  <c r="S210" i="5"/>
  <c r="R210" i="5"/>
  <c r="Q210" i="5"/>
  <c r="S209" i="5"/>
  <c r="R209" i="5"/>
  <c r="Q209" i="5"/>
  <c r="T209" i="5" s="1"/>
  <c r="S208" i="5"/>
  <c r="R208" i="5"/>
  <c r="Q208" i="5"/>
  <c r="T208" i="5" s="1"/>
  <c r="S207" i="5"/>
  <c r="T207" i="5" s="1"/>
  <c r="R207" i="5"/>
  <c r="Q207" i="5"/>
  <c r="T206" i="5"/>
  <c r="S206" i="5"/>
  <c r="R206" i="5"/>
  <c r="Q206" i="5"/>
  <c r="S205" i="5"/>
  <c r="R205" i="5"/>
  <c r="Q205" i="5"/>
  <c r="T205" i="5" s="1"/>
  <c r="S204" i="5"/>
  <c r="R204" i="5"/>
  <c r="Q204" i="5"/>
  <c r="T204" i="5" s="1"/>
  <c r="S203" i="5"/>
  <c r="T203" i="5" s="1"/>
  <c r="R203" i="5"/>
  <c r="Q203" i="5"/>
  <c r="T202" i="5"/>
  <c r="S202" i="5"/>
  <c r="R202" i="5"/>
  <c r="Q202" i="5"/>
  <c r="S201" i="5"/>
  <c r="R201" i="5"/>
  <c r="Q201" i="5"/>
  <c r="T201" i="5" s="1"/>
  <c r="S200" i="5"/>
  <c r="R200" i="5"/>
  <c r="Q200" i="5"/>
  <c r="T200" i="5" s="1"/>
  <c r="S199" i="5"/>
  <c r="T199" i="5" s="1"/>
  <c r="R199" i="5"/>
  <c r="Q199" i="5"/>
  <c r="T198" i="5"/>
  <c r="S198" i="5"/>
  <c r="R198" i="5"/>
  <c r="Q198" i="5"/>
  <c r="S197" i="5"/>
  <c r="R197" i="5"/>
  <c r="Q197" i="5"/>
  <c r="T197" i="5" s="1"/>
  <c r="S196" i="5"/>
  <c r="R196" i="5"/>
  <c r="Q196" i="5"/>
  <c r="T196" i="5" s="1"/>
  <c r="S195" i="5"/>
  <c r="T195" i="5" s="1"/>
  <c r="R195" i="5"/>
  <c r="Q195" i="5"/>
  <c r="T194" i="5"/>
  <c r="S194" i="5"/>
  <c r="R194" i="5"/>
  <c r="Q194" i="5"/>
  <c r="S193" i="5"/>
  <c r="R193" i="5"/>
  <c r="Q193" i="5"/>
  <c r="T193" i="5" s="1"/>
  <c r="S192" i="5"/>
  <c r="R192" i="5"/>
  <c r="Q192" i="5"/>
  <c r="T192" i="5" s="1"/>
  <c r="S191" i="5"/>
  <c r="T191" i="5" s="1"/>
  <c r="R191" i="5"/>
  <c r="Q191" i="5"/>
  <c r="T190" i="5"/>
  <c r="S190" i="5"/>
  <c r="R190" i="5"/>
  <c r="Q190" i="5"/>
  <c r="S189" i="5"/>
  <c r="R189" i="5"/>
  <c r="Q189" i="5"/>
  <c r="T189" i="5" s="1"/>
  <c r="S188" i="5"/>
  <c r="R188" i="5"/>
  <c r="Q188" i="5"/>
  <c r="T188" i="5" s="1"/>
  <c r="S187" i="5"/>
  <c r="R187" i="5"/>
  <c r="Q187" i="5"/>
  <c r="T186" i="5"/>
  <c r="S186" i="5"/>
  <c r="R186" i="5"/>
  <c r="Q186" i="5"/>
  <c r="S185" i="5"/>
  <c r="R185" i="5"/>
  <c r="Q185" i="5"/>
  <c r="T185" i="5" s="1"/>
  <c r="S184" i="5"/>
  <c r="R184" i="5"/>
  <c r="Q184" i="5"/>
  <c r="T184" i="5" s="1"/>
  <c r="S183" i="5"/>
  <c r="R183" i="5"/>
  <c r="Q183" i="5"/>
  <c r="T183" i="5" s="1"/>
  <c r="T182" i="5"/>
  <c r="S182" i="5"/>
  <c r="R182" i="5"/>
  <c r="Q182" i="5"/>
  <c r="S181" i="5"/>
  <c r="R181" i="5"/>
  <c r="Q181" i="5"/>
  <c r="T181" i="5" s="1"/>
  <c r="S180" i="5"/>
  <c r="R180" i="5"/>
  <c r="Q180" i="5"/>
  <c r="T180" i="5" s="1"/>
  <c r="S179" i="5"/>
  <c r="R179" i="5"/>
  <c r="Q179" i="5"/>
  <c r="T178" i="5"/>
  <c r="S178" i="5"/>
  <c r="R178" i="5"/>
  <c r="Q178" i="5"/>
  <c r="S177" i="5"/>
  <c r="R177" i="5"/>
  <c r="Q177" i="5"/>
  <c r="T177" i="5" s="1"/>
  <c r="S176" i="5"/>
  <c r="R176" i="5"/>
  <c r="Q176" i="5"/>
  <c r="T176" i="5" s="1"/>
  <c r="S175" i="5"/>
  <c r="R175" i="5"/>
  <c r="Q175" i="5"/>
  <c r="T175" i="5" s="1"/>
  <c r="T174" i="5"/>
  <c r="S174" i="5"/>
  <c r="R174" i="5"/>
  <c r="Q174" i="5"/>
  <c r="S173" i="5"/>
  <c r="R173" i="5"/>
  <c r="Q173" i="5"/>
  <c r="T173" i="5" s="1"/>
  <c r="S172" i="5"/>
  <c r="R172" i="5"/>
  <c r="Q172" i="5"/>
  <c r="T172" i="5" s="1"/>
  <c r="S171" i="5"/>
  <c r="R171" i="5"/>
  <c r="Q171" i="5"/>
  <c r="T170" i="5"/>
  <c r="S170" i="5"/>
  <c r="R170" i="5"/>
  <c r="Q170" i="5"/>
  <c r="S169" i="5"/>
  <c r="R169" i="5"/>
  <c r="Q169" i="5"/>
  <c r="T169" i="5" s="1"/>
  <c r="S168" i="5"/>
  <c r="R168" i="5"/>
  <c r="Q168" i="5"/>
  <c r="T168" i="5" s="1"/>
  <c r="S167" i="5"/>
  <c r="R167" i="5"/>
  <c r="Q167" i="5"/>
  <c r="T167" i="5" s="1"/>
  <c r="T166" i="5"/>
  <c r="S166" i="5"/>
  <c r="R166" i="5"/>
  <c r="Q166" i="5"/>
  <c r="S165" i="5"/>
  <c r="R165" i="5"/>
  <c r="Q165" i="5"/>
  <c r="T165" i="5" s="1"/>
  <c r="S164" i="5"/>
  <c r="R164" i="5"/>
  <c r="Q164" i="5"/>
  <c r="T164" i="5" s="1"/>
  <c r="S163" i="5"/>
  <c r="R163" i="5"/>
  <c r="Q163" i="5"/>
  <c r="T162" i="5"/>
  <c r="S162" i="5"/>
  <c r="R162" i="5"/>
  <c r="Q162" i="5"/>
  <c r="S161" i="5"/>
  <c r="R161" i="5"/>
  <c r="Q161" i="5"/>
  <c r="T161" i="5" s="1"/>
  <c r="S160" i="5"/>
  <c r="R160" i="5"/>
  <c r="Q160" i="5"/>
  <c r="T160" i="5" s="1"/>
  <c r="S159" i="5"/>
  <c r="R159" i="5"/>
  <c r="Q159" i="5"/>
  <c r="T159" i="5" s="1"/>
  <c r="T158" i="5"/>
  <c r="S158" i="5"/>
  <c r="R158" i="5"/>
  <c r="Q158" i="5"/>
  <c r="S157" i="5"/>
  <c r="R157" i="5"/>
  <c r="Q157" i="5"/>
  <c r="T157" i="5" s="1"/>
  <c r="S156" i="5"/>
  <c r="R156" i="5"/>
  <c r="Q156" i="5"/>
  <c r="T156" i="5" s="1"/>
  <c r="S155" i="5"/>
  <c r="R155" i="5"/>
  <c r="Q155" i="5"/>
  <c r="T154" i="5"/>
  <c r="S154" i="5"/>
  <c r="R154" i="5"/>
  <c r="Q154" i="5"/>
  <c r="S153" i="5"/>
  <c r="R153" i="5"/>
  <c r="Q153" i="5"/>
  <c r="T153" i="5" s="1"/>
  <c r="S152" i="5"/>
  <c r="R152" i="5"/>
  <c r="Q152" i="5"/>
  <c r="T152" i="5" s="1"/>
  <c r="S151" i="5"/>
  <c r="R151" i="5"/>
  <c r="Q151" i="5"/>
  <c r="T151" i="5" s="1"/>
  <c r="T150" i="5"/>
  <c r="S150" i="5"/>
  <c r="R150" i="5"/>
  <c r="Q150" i="5"/>
  <c r="S149" i="5"/>
  <c r="R149" i="5"/>
  <c r="Q149" i="5"/>
  <c r="T149" i="5" s="1"/>
  <c r="S148" i="5"/>
  <c r="R148" i="5"/>
  <c r="Q148" i="5"/>
  <c r="T148" i="5" s="1"/>
  <c r="S147" i="5"/>
  <c r="R147" i="5"/>
  <c r="Q147" i="5"/>
  <c r="T146" i="5"/>
  <c r="S146" i="5"/>
  <c r="R146" i="5"/>
  <c r="Q146" i="5"/>
  <c r="S145" i="5"/>
  <c r="R145" i="5"/>
  <c r="Q145" i="5"/>
  <c r="T145" i="5" s="1"/>
  <c r="S144" i="5"/>
  <c r="R144" i="5"/>
  <c r="Q144" i="5"/>
  <c r="T144" i="5" s="1"/>
  <c r="S143" i="5"/>
  <c r="R143" i="5"/>
  <c r="Q143" i="5"/>
  <c r="T143" i="5" s="1"/>
  <c r="T142" i="5"/>
  <c r="S142" i="5"/>
  <c r="R142" i="5"/>
  <c r="Q142" i="5"/>
  <c r="S141" i="5"/>
  <c r="R141" i="5"/>
  <c r="Q141" i="5"/>
  <c r="T141" i="5" s="1"/>
  <c r="S140" i="5"/>
  <c r="R140" i="5"/>
  <c r="Q140" i="5"/>
  <c r="T140" i="5" s="1"/>
  <c r="S139" i="5"/>
  <c r="R139" i="5"/>
  <c r="Q139" i="5"/>
  <c r="T138" i="5"/>
  <c r="S138" i="5"/>
  <c r="R138" i="5"/>
  <c r="Q138" i="5"/>
  <c r="S137" i="5"/>
  <c r="R137" i="5"/>
  <c r="Q137" i="5"/>
  <c r="T137" i="5" s="1"/>
  <c r="S136" i="5"/>
  <c r="R136" i="5"/>
  <c r="Q136" i="5"/>
  <c r="T136" i="5" s="1"/>
  <c r="S135" i="5"/>
  <c r="R135" i="5"/>
  <c r="Q135" i="5"/>
  <c r="T135" i="5" s="1"/>
  <c r="T134" i="5"/>
  <c r="S134" i="5"/>
  <c r="R134" i="5"/>
  <c r="Q134" i="5"/>
  <c r="S133" i="5"/>
  <c r="R133" i="5"/>
  <c r="Q133" i="5"/>
  <c r="T133" i="5" s="1"/>
  <c r="S132" i="5"/>
  <c r="R132" i="5"/>
  <c r="Q132" i="5"/>
  <c r="T132" i="5" s="1"/>
  <c r="S131" i="5"/>
  <c r="R131" i="5"/>
  <c r="Q131" i="5"/>
  <c r="T130" i="5"/>
  <c r="S130" i="5"/>
  <c r="R130" i="5"/>
  <c r="Q130" i="5"/>
  <c r="S129" i="5"/>
  <c r="R129" i="5"/>
  <c r="Q129" i="5"/>
  <c r="T129" i="5" s="1"/>
  <c r="S128" i="5"/>
  <c r="R128" i="5"/>
  <c r="Q128" i="5"/>
  <c r="T128" i="5" s="1"/>
  <c r="S127" i="5"/>
  <c r="R127" i="5"/>
  <c r="Q127" i="5"/>
  <c r="T127" i="5" s="1"/>
  <c r="T126" i="5"/>
  <c r="S126" i="5"/>
  <c r="R126" i="5"/>
  <c r="Q126" i="5"/>
  <c r="S125" i="5"/>
  <c r="R125" i="5"/>
  <c r="Q125" i="5"/>
  <c r="T125" i="5" s="1"/>
  <c r="S124" i="5"/>
  <c r="R124" i="5"/>
  <c r="Q124" i="5"/>
  <c r="T124" i="5" s="1"/>
  <c r="S123" i="5"/>
  <c r="R123" i="5"/>
  <c r="Q123" i="5"/>
  <c r="T122" i="5"/>
  <c r="S122" i="5"/>
  <c r="R122" i="5"/>
  <c r="Q122" i="5"/>
  <c r="S121" i="5"/>
  <c r="R121" i="5"/>
  <c r="Q121" i="5"/>
  <c r="T121" i="5" s="1"/>
  <c r="S120" i="5"/>
  <c r="R120" i="5"/>
  <c r="Q120" i="5"/>
  <c r="T120" i="5" s="1"/>
  <c r="S119" i="5"/>
  <c r="R119" i="5"/>
  <c r="Q119" i="5"/>
  <c r="T119" i="5" s="1"/>
  <c r="T118" i="5"/>
  <c r="S118" i="5"/>
  <c r="R118" i="5"/>
  <c r="Q118" i="5"/>
  <c r="S117" i="5"/>
  <c r="R117" i="5"/>
  <c r="Q117" i="5"/>
  <c r="T117" i="5" s="1"/>
  <c r="S116" i="5"/>
  <c r="R116" i="5"/>
  <c r="Q116" i="5"/>
  <c r="T116" i="5" s="1"/>
  <c r="S115" i="5"/>
  <c r="R115" i="5"/>
  <c r="Q115" i="5"/>
  <c r="T114" i="5"/>
  <c r="S114" i="5"/>
  <c r="R114" i="5"/>
  <c r="Q114" i="5"/>
  <c r="S113" i="5"/>
  <c r="R113" i="5"/>
  <c r="Q113" i="5"/>
  <c r="T113" i="5" s="1"/>
  <c r="S112" i="5"/>
  <c r="R112" i="5"/>
  <c r="Q112" i="5"/>
  <c r="T112" i="5" s="1"/>
  <c r="S111" i="5"/>
  <c r="R111" i="5"/>
  <c r="Q111" i="5"/>
  <c r="T111" i="5" s="1"/>
  <c r="T110" i="5"/>
  <c r="S110" i="5"/>
  <c r="R110" i="5"/>
  <c r="Q110" i="5"/>
  <c r="S109" i="5"/>
  <c r="R109" i="5"/>
  <c r="Q109" i="5"/>
  <c r="T109" i="5" s="1"/>
  <c r="S108" i="5"/>
  <c r="R108" i="5"/>
  <c r="Q108" i="5"/>
  <c r="T108" i="5" s="1"/>
  <c r="S107" i="5"/>
  <c r="R107" i="5"/>
  <c r="Q107" i="5"/>
  <c r="T106" i="5"/>
  <c r="S106" i="5"/>
  <c r="R106" i="5"/>
  <c r="Q106" i="5"/>
  <c r="S105" i="5"/>
  <c r="R105" i="5"/>
  <c r="Q105" i="5"/>
  <c r="T105" i="5" s="1"/>
  <c r="S104" i="5"/>
  <c r="R104" i="5"/>
  <c r="Q104" i="5"/>
  <c r="T104" i="5" s="1"/>
  <c r="S103" i="5"/>
  <c r="R103" i="5"/>
  <c r="Q103" i="5"/>
  <c r="T103" i="5" s="1"/>
  <c r="T102" i="5"/>
  <c r="S102" i="5"/>
  <c r="R102" i="5"/>
  <c r="Q102" i="5"/>
  <c r="S101" i="5"/>
  <c r="R101" i="5"/>
  <c r="Q101" i="5"/>
  <c r="T101" i="5" s="1"/>
  <c r="S100" i="5"/>
  <c r="R100" i="5"/>
  <c r="Q100" i="5"/>
  <c r="T100" i="5" s="1"/>
  <c r="S99" i="5"/>
  <c r="R99" i="5"/>
  <c r="Q99" i="5"/>
  <c r="T98" i="5"/>
  <c r="S98" i="5"/>
  <c r="R98" i="5"/>
  <c r="Q98" i="5"/>
  <c r="S97" i="5"/>
  <c r="R97" i="5"/>
  <c r="Q97" i="5"/>
  <c r="T97" i="5" s="1"/>
  <c r="S96" i="5"/>
  <c r="R96" i="5"/>
  <c r="Q96" i="5"/>
  <c r="T96" i="5" s="1"/>
  <c r="S95" i="5"/>
  <c r="R95" i="5"/>
  <c r="Q95" i="5"/>
  <c r="T95" i="5" s="1"/>
  <c r="T94" i="5"/>
  <c r="S94" i="5"/>
  <c r="R94" i="5"/>
  <c r="Q94" i="5"/>
  <c r="S93" i="5"/>
  <c r="R93" i="5"/>
  <c r="Q93" i="5"/>
  <c r="T93" i="5" s="1"/>
  <c r="S92" i="5"/>
  <c r="R92" i="5"/>
  <c r="Q92" i="5"/>
  <c r="T92" i="5" s="1"/>
  <c r="S91" i="5"/>
  <c r="R91" i="5"/>
  <c r="Q91" i="5"/>
  <c r="T90" i="5"/>
  <c r="S90" i="5"/>
  <c r="R90" i="5"/>
  <c r="Q90" i="5"/>
  <c r="S89" i="5"/>
  <c r="R89" i="5"/>
  <c r="Q89" i="5"/>
  <c r="T89" i="5" s="1"/>
  <c r="S88" i="5"/>
  <c r="R88" i="5"/>
  <c r="Q88" i="5"/>
  <c r="T88" i="5" s="1"/>
  <c r="S87" i="5"/>
  <c r="R87" i="5"/>
  <c r="Q87" i="5"/>
  <c r="T87" i="5" s="1"/>
  <c r="T86" i="5"/>
  <c r="S86" i="5"/>
  <c r="R86" i="5"/>
  <c r="Q86" i="5"/>
  <c r="S85" i="5"/>
  <c r="R85" i="5"/>
  <c r="Q85" i="5"/>
  <c r="T85" i="5" s="1"/>
  <c r="S84" i="5"/>
  <c r="R84" i="5"/>
  <c r="Q84" i="5"/>
  <c r="T84" i="5" s="1"/>
  <c r="S83" i="5"/>
  <c r="R83" i="5"/>
  <c r="Q83" i="5"/>
  <c r="T82" i="5"/>
  <c r="S82" i="5"/>
  <c r="R82" i="5"/>
  <c r="Q82" i="5"/>
  <c r="S81" i="5"/>
  <c r="R81" i="5"/>
  <c r="Q81" i="5"/>
  <c r="T81" i="5" s="1"/>
  <c r="S80" i="5"/>
  <c r="R80" i="5"/>
  <c r="Q80" i="5"/>
  <c r="T80" i="5" s="1"/>
  <c r="S79" i="5"/>
  <c r="R79" i="5"/>
  <c r="Q79" i="5"/>
  <c r="T79" i="5" s="1"/>
  <c r="T78" i="5"/>
  <c r="S78" i="5"/>
  <c r="R78" i="5"/>
  <c r="Q78" i="5"/>
  <c r="S77" i="5"/>
  <c r="R77" i="5"/>
  <c r="Q77" i="5"/>
  <c r="T77" i="5" s="1"/>
  <c r="S76" i="5"/>
  <c r="R76" i="5"/>
  <c r="Q76" i="5"/>
  <c r="T76" i="5" s="1"/>
  <c r="S75" i="5"/>
  <c r="R75" i="5"/>
  <c r="Q75" i="5"/>
  <c r="T74" i="5"/>
  <c r="S74" i="5"/>
  <c r="R74" i="5"/>
  <c r="Q74" i="5"/>
  <c r="S73" i="5"/>
  <c r="R73" i="5"/>
  <c r="Q73" i="5"/>
  <c r="T73" i="5" s="1"/>
  <c r="S72" i="5"/>
  <c r="R72" i="5"/>
  <c r="Q72" i="5"/>
  <c r="T72" i="5" s="1"/>
  <c r="S71" i="5"/>
  <c r="R71" i="5"/>
  <c r="Q71" i="5"/>
  <c r="T71" i="5" s="1"/>
  <c r="T70" i="5"/>
  <c r="S70" i="5"/>
  <c r="R70" i="5"/>
  <c r="Q70" i="5"/>
  <c r="S69" i="5"/>
  <c r="R69" i="5"/>
  <c r="Q69" i="5"/>
  <c r="T69" i="5" s="1"/>
  <c r="S68" i="5"/>
  <c r="R68" i="5"/>
  <c r="Q68" i="5"/>
  <c r="T68" i="5" s="1"/>
  <c r="S67" i="5"/>
  <c r="R67" i="5"/>
  <c r="Q67" i="5"/>
  <c r="T66" i="5"/>
  <c r="S66" i="5"/>
  <c r="R66" i="5"/>
  <c r="Q66" i="5"/>
  <c r="S65" i="5"/>
  <c r="R65" i="5"/>
  <c r="Q65" i="5"/>
  <c r="T65" i="5" s="1"/>
  <c r="S64" i="5"/>
  <c r="R64" i="5"/>
  <c r="Q64" i="5"/>
  <c r="T64" i="5" s="1"/>
  <c r="S63" i="5"/>
  <c r="R63" i="5"/>
  <c r="Q63" i="5"/>
  <c r="T63" i="5" s="1"/>
  <c r="T62" i="5"/>
  <c r="S62" i="5"/>
  <c r="R62" i="5"/>
  <c r="Q62" i="5"/>
  <c r="S61" i="5"/>
  <c r="R61" i="5"/>
  <c r="Q61" i="5"/>
  <c r="T61" i="5" s="1"/>
  <c r="S60" i="5"/>
  <c r="R60" i="5"/>
  <c r="Q60" i="5"/>
  <c r="T60" i="5" s="1"/>
  <c r="S59" i="5"/>
  <c r="R59" i="5"/>
  <c r="Q59" i="5"/>
  <c r="T58" i="5"/>
  <c r="S58" i="5"/>
  <c r="R58" i="5"/>
  <c r="Q58" i="5"/>
  <c r="S57" i="5"/>
  <c r="R57" i="5"/>
  <c r="Q57" i="5"/>
  <c r="T57" i="5" s="1"/>
  <c r="S56" i="5"/>
  <c r="R56" i="5"/>
  <c r="Q56" i="5"/>
  <c r="T56" i="5" s="1"/>
  <c r="S55" i="5"/>
  <c r="R55" i="5"/>
  <c r="Q55" i="5"/>
  <c r="T55" i="5" s="1"/>
  <c r="T54" i="5"/>
  <c r="S54" i="5"/>
  <c r="R54" i="5"/>
  <c r="Q54" i="5"/>
  <c r="S53" i="5"/>
  <c r="R53" i="5"/>
  <c r="Q53" i="5"/>
  <c r="T53" i="5" s="1"/>
  <c r="S52" i="5"/>
  <c r="R52" i="5"/>
  <c r="Q52" i="5"/>
  <c r="T52" i="5" s="1"/>
  <c r="S51" i="5"/>
  <c r="R51" i="5"/>
  <c r="Q51" i="5"/>
  <c r="T50" i="5"/>
  <c r="S50" i="5"/>
  <c r="R50" i="5"/>
  <c r="Q50" i="5"/>
  <c r="S49" i="5"/>
  <c r="R49" i="5"/>
  <c r="Q49" i="5"/>
  <c r="T49" i="5" s="1"/>
  <c r="S48" i="5"/>
  <c r="R48" i="5"/>
  <c r="Q48" i="5"/>
  <c r="T48" i="5" s="1"/>
  <c r="S47" i="5"/>
  <c r="R47" i="5"/>
  <c r="Q47" i="5"/>
  <c r="T47" i="5" s="1"/>
  <c r="T46" i="5"/>
  <c r="S46" i="5"/>
  <c r="R46" i="5"/>
  <c r="Q46" i="5"/>
  <c r="S45" i="5"/>
  <c r="R45" i="5"/>
  <c r="Q45" i="5"/>
  <c r="T45" i="5" s="1"/>
  <c r="S44" i="5"/>
  <c r="R44" i="5"/>
  <c r="Q44" i="5"/>
  <c r="T44" i="5" s="1"/>
  <c r="S43" i="5"/>
  <c r="R43" i="5"/>
  <c r="Q43" i="5"/>
  <c r="T42" i="5"/>
  <c r="S42" i="5"/>
  <c r="R42" i="5"/>
  <c r="Q42" i="5"/>
  <c r="S41" i="5"/>
  <c r="R41" i="5"/>
  <c r="Q41" i="5"/>
  <c r="T41" i="5" s="1"/>
  <c r="S40" i="5"/>
  <c r="R40" i="5"/>
  <c r="Q40" i="5"/>
  <c r="T40" i="5" s="1"/>
  <c r="S39" i="5"/>
  <c r="R39" i="5"/>
  <c r="Q39" i="5"/>
  <c r="T39" i="5" s="1"/>
  <c r="T38" i="5"/>
  <c r="S38" i="5"/>
  <c r="R38" i="5"/>
  <c r="Q38" i="5"/>
  <c r="S37" i="5"/>
  <c r="R37" i="5"/>
  <c r="Q37" i="5"/>
  <c r="T37" i="5" s="1"/>
  <c r="S36" i="5"/>
  <c r="R36" i="5"/>
  <c r="Q36" i="5"/>
  <c r="T36" i="5" s="1"/>
  <c r="S35" i="5"/>
  <c r="R35" i="5"/>
  <c r="Q35" i="5"/>
  <c r="T34" i="5"/>
  <c r="S34" i="5"/>
  <c r="R34" i="5"/>
  <c r="Q34" i="5"/>
  <c r="S33" i="5"/>
  <c r="R33" i="5"/>
  <c r="Q33" i="5"/>
  <c r="T33" i="5" s="1"/>
  <c r="S32" i="5"/>
  <c r="R32" i="5"/>
  <c r="Q32" i="5"/>
  <c r="T32" i="5" s="1"/>
  <c r="S31" i="5"/>
  <c r="R31" i="5"/>
  <c r="Q31" i="5"/>
  <c r="T31" i="5" s="1"/>
  <c r="T30" i="5"/>
  <c r="S30" i="5"/>
  <c r="R30" i="5"/>
  <c r="Q30" i="5"/>
  <c r="S29" i="5"/>
  <c r="R29" i="5"/>
  <c r="Q29" i="5"/>
  <c r="T29" i="5" s="1"/>
  <c r="S28" i="5"/>
  <c r="R28" i="5"/>
  <c r="Q28" i="5"/>
  <c r="T28" i="5" s="1"/>
  <c r="S27" i="5"/>
  <c r="R27" i="5"/>
  <c r="Q27" i="5"/>
  <c r="T26" i="5"/>
  <c r="S26" i="5"/>
  <c r="R26" i="5"/>
  <c r="Q26" i="5"/>
  <c r="S25" i="5"/>
  <c r="R25" i="5"/>
  <c r="Q25" i="5"/>
  <c r="T25" i="5" s="1"/>
  <c r="S24" i="5"/>
  <c r="R24" i="5"/>
  <c r="Q24" i="5"/>
  <c r="T24" i="5" s="1"/>
  <c r="S23" i="5"/>
  <c r="R23" i="5"/>
  <c r="Q23" i="5"/>
  <c r="T23" i="5" s="1"/>
  <c r="T22" i="5"/>
  <c r="S22" i="5"/>
  <c r="R22" i="5"/>
  <c r="Q22" i="5"/>
  <c r="S21" i="5"/>
  <c r="R21" i="5"/>
  <c r="Q21" i="5"/>
  <c r="T21" i="5" s="1"/>
  <c r="S20" i="5"/>
  <c r="R20" i="5"/>
  <c r="Q20" i="5"/>
  <c r="T20" i="5" s="1"/>
  <c r="S19" i="5"/>
  <c r="R19" i="5"/>
  <c r="Q19" i="5"/>
  <c r="T18" i="5"/>
  <c r="S18" i="5"/>
  <c r="R18" i="5"/>
  <c r="Q18" i="5"/>
  <c r="S17" i="5"/>
  <c r="R17" i="5"/>
  <c r="Q17" i="5"/>
  <c r="T17" i="5" s="1"/>
  <c r="S16" i="5"/>
  <c r="R16" i="5"/>
  <c r="Q16" i="5"/>
  <c r="T16" i="5" s="1"/>
  <c r="S15" i="5"/>
  <c r="R15" i="5"/>
  <c r="Q15" i="5"/>
  <c r="T15" i="5" s="1"/>
  <c r="T14" i="5"/>
  <c r="S14" i="5"/>
  <c r="R14" i="5"/>
  <c r="Q14" i="5"/>
  <c r="S13" i="5"/>
  <c r="R13" i="5"/>
  <c r="Q13" i="5"/>
  <c r="T13" i="5" s="1"/>
  <c r="S12" i="5"/>
  <c r="R12" i="5"/>
  <c r="Q12" i="5"/>
  <c r="T12" i="5" s="1"/>
  <c r="S11" i="5"/>
  <c r="R11" i="5"/>
  <c r="Q11" i="5"/>
  <c r="T10" i="5"/>
  <c r="S10" i="5"/>
  <c r="R10" i="5"/>
  <c r="Q10" i="5"/>
  <c r="S9" i="5"/>
  <c r="R9" i="5"/>
  <c r="Q9" i="5"/>
  <c r="T9" i="5" s="1"/>
  <c r="S8" i="5"/>
  <c r="R8" i="5"/>
  <c r="Q8" i="5"/>
  <c r="T8" i="5" s="1"/>
  <c r="S7" i="5"/>
  <c r="R7" i="5"/>
  <c r="Q7" i="5"/>
  <c r="T7" i="5" s="1"/>
  <c r="T11" i="5" l="1"/>
  <c r="T19" i="5"/>
  <c r="T27" i="5"/>
  <c r="T35" i="5"/>
  <c r="T43" i="5"/>
  <c r="T51" i="5"/>
  <c r="T59" i="5"/>
  <c r="T67" i="5"/>
  <c r="T75" i="5"/>
  <c r="T83" i="5"/>
  <c r="T91" i="5"/>
  <c r="T99" i="5"/>
  <c r="T107" i="5"/>
  <c r="T115" i="5"/>
  <c r="T123" i="5"/>
  <c r="T131" i="5"/>
  <c r="T139" i="5"/>
  <c r="T147" i="5"/>
  <c r="T155" i="5"/>
  <c r="T163" i="5"/>
  <c r="T171" i="5"/>
  <c r="T179" i="5"/>
  <c r="T187" i="5"/>
  <c r="T312" i="5"/>
  <c r="T316" i="5"/>
  <c r="T320" i="5"/>
  <c r="T256" i="5"/>
  <c r="U449" i="5" s="1"/>
  <c r="T264" i="5"/>
  <c r="U326" i="5" s="1"/>
  <c r="T272" i="5"/>
  <c r="U272" i="5" s="1"/>
  <c r="T280" i="5"/>
  <c r="T288" i="5"/>
  <c r="T296" i="5"/>
  <c r="T304" i="5"/>
  <c r="T335" i="5"/>
  <c r="T339" i="5"/>
  <c r="T343" i="5"/>
  <c r="T347" i="5"/>
  <c r="T351" i="5"/>
  <c r="T355" i="5"/>
  <c r="T359" i="5"/>
  <c r="T363" i="5"/>
  <c r="T367" i="5"/>
  <c r="T371" i="5"/>
  <c r="T375" i="5"/>
  <c r="T379" i="5"/>
  <c r="T383" i="5"/>
  <c r="T431" i="5"/>
  <c r="T439" i="5"/>
  <c r="T447" i="5"/>
  <c r="T455" i="5"/>
  <c r="T463" i="5"/>
  <c r="T471" i="5"/>
  <c r="T479" i="5"/>
  <c r="T487" i="5"/>
  <c r="T495" i="5"/>
  <c r="T503" i="5"/>
  <c r="T511" i="5"/>
  <c r="T519" i="5"/>
  <c r="T527" i="5"/>
  <c r="T535" i="5"/>
  <c r="T543" i="5"/>
  <c r="T551" i="5"/>
  <c r="T559" i="5"/>
  <c r="T567" i="5"/>
  <c r="T575" i="5"/>
  <c r="T583" i="5"/>
  <c r="T428" i="5"/>
  <c r="T436" i="5"/>
  <c r="T444" i="5"/>
  <c r="T452" i="5"/>
  <c r="T460" i="5"/>
  <c r="T468" i="5"/>
  <c r="T476" i="5"/>
  <c r="T484" i="5"/>
  <c r="T492" i="5"/>
  <c r="T500" i="5"/>
  <c r="T508" i="5"/>
  <c r="T516" i="5"/>
  <c r="T524" i="5"/>
  <c r="T532" i="5"/>
  <c r="T540" i="5"/>
  <c r="T548" i="5"/>
  <c r="U554" i="5"/>
  <c r="T556" i="5"/>
  <c r="T564" i="5"/>
  <c r="U570" i="5"/>
  <c r="T572" i="5"/>
  <c r="T588" i="5"/>
  <c r="U588" i="5" s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U330" i="5" l="1"/>
  <c r="U356" i="5"/>
  <c r="U380" i="5"/>
  <c r="U415" i="5"/>
  <c r="U352" i="5"/>
  <c r="U391" i="5"/>
  <c r="U561" i="5"/>
  <c r="U481" i="5"/>
  <c r="U305" i="5"/>
  <c r="U538" i="5"/>
  <c r="U490" i="5"/>
  <c r="U442" i="5"/>
  <c r="U535" i="5"/>
  <c r="U439" i="5"/>
  <c r="U558" i="5"/>
  <c r="U510" i="5"/>
  <c r="U462" i="5"/>
  <c r="U563" i="5"/>
  <c r="U410" i="5"/>
  <c r="U365" i="5"/>
  <c r="U341" i="5"/>
  <c r="U505" i="5"/>
  <c r="U523" i="5"/>
  <c r="U459" i="5"/>
  <c r="U417" i="5"/>
  <c r="U401" i="5"/>
  <c r="U385" i="5"/>
  <c r="U370" i="5"/>
  <c r="U354" i="5"/>
  <c r="U338" i="5"/>
  <c r="U360" i="5"/>
  <c r="U304" i="5"/>
  <c r="U586" i="5"/>
  <c r="U564" i="5"/>
  <c r="U548" i="5"/>
  <c r="U532" i="5"/>
  <c r="U516" i="5"/>
  <c r="U500" i="5"/>
  <c r="U484" i="5"/>
  <c r="U468" i="5"/>
  <c r="U452" i="5"/>
  <c r="U436" i="5"/>
  <c r="U587" i="5"/>
  <c r="U559" i="5"/>
  <c r="U527" i="5"/>
  <c r="U495" i="5"/>
  <c r="U463" i="5"/>
  <c r="U431" i="5"/>
  <c r="U582" i="5"/>
  <c r="U568" i="5"/>
  <c r="U552" i="5"/>
  <c r="U536" i="5"/>
  <c r="U520" i="5"/>
  <c r="U504" i="5"/>
  <c r="U488" i="5"/>
  <c r="U472" i="5"/>
  <c r="U456" i="5"/>
  <c r="U440" i="5"/>
  <c r="U424" i="5"/>
  <c r="U547" i="5"/>
  <c r="U483" i="5"/>
  <c r="U421" i="5"/>
  <c r="U405" i="5"/>
  <c r="U389" i="5"/>
  <c r="U379" i="5"/>
  <c r="U371" i="5"/>
  <c r="U363" i="5"/>
  <c r="U355" i="5"/>
  <c r="U347" i="5"/>
  <c r="U339" i="5"/>
  <c r="U553" i="5"/>
  <c r="U489" i="5"/>
  <c r="U425" i="5"/>
  <c r="U392" i="5"/>
  <c r="U507" i="5"/>
  <c r="U443" i="5"/>
  <c r="U414" i="5"/>
  <c r="U398" i="5"/>
  <c r="U382" i="5"/>
  <c r="U366" i="5"/>
  <c r="U350" i="5"/>
  <c r="U404" i="5"/>
  <c r="U344" i="5"/>
  <c r="U296" i="5"/>
  <c r="U264" i="5"/>
  <c r="U412" i="5"/>
  <c r="U340" i="5"/>
  <c r="U320" i="5"/>
  <c r="U332" i="5"/>
  <c r="U388" i="5"/>
  <c r="U337" i="5"/>
  <c r="U324" i="5"/>
  <c r="U545" i="5"/>
  <c r="U522" i="5"/>
  <c r="U474" i="5"/>
  <c r="U426" i="5"/>
  <c r="U503" i="5"/>
  <c r="U584" i="5"/>
  <c r="U542" i="5"/>
  <c r="U494" i="5"/>
  <c r="U446" i="5"/>
  <c r="U499" i="5"/>
  <c r="U394" i="5"/>
  <c r="U373" i="5"/>
  <c r="U349" i="5"/>
  <c r="U441" i="5"/>
  <c r="U578" i="5"/>
  <c r="U546" i="5"/>
  <c r="U514" i="5"/>
  <c r="U482" i="5"/>
  <c r="U450" i="5"/>
  <c r="U583" i="5"/>
  <c r="U519" i="5"/>
  <c r="U455" i="5"/>
  <c r="U576" i="5"/>
  <c r="U550" i="5"/>
  <c r="U534" i="5"/>
  <c r="U518" i="5"/>
  <c r="U502" i="5"/>
  <c r="U486" i="5"/>
  <c r="U470" i="5"/>
  <c r="U454" i="5"/>
  <c r="U438" i="5"/>
  <c r="U580" i="5"/>
  <c r="U531" i="5"/>
  <c r="U467" i="5"/>
  <c r="U418" i="5"/>
  <c r="U402" i="5"/>
  <c r="U386" i="5"/>
  <c r="U377" i="5"/>
  <c r="U369" i="5"/>
  <c r="U361" i="5"/>
  <c r="U353" i="5"/>
  <c r="U345" i="5"/>
  <c r="U335" i="5"/>
  <c r="U537" i="5"/>
  <c r="U473" i="5"/>
  <c r="U416" i="5"/>
  <c r="U555" i="5"/>
  <c r="U491" i="5"/>
  <c r="U427" i="5"/>
  <c r="U409" i="5"/>
  <c r="U393" i="5"/>
  <c r="U378" i="5"/>
  <c r="U362" i="5"/>
  <c r="U346" i="5"/>
  <c r="U399" i="5"/>
  <c r="U333" i="5"/>
  <c r="U288" i="5"/>
  <c r="U256" i="5"/>
  <c r="U199" i="5"/>
  <c r="U231" i="5"/>
  <c r="U252" i="5"/>
  <c r="U14" i="5"/>
  <c r="U62" i="5"/>
  <c r="U94" i="5"/>
  <c r="U117" i="5"/>
  <c r="U126" i="5"/>
  <c r="U136" i="5"/>
  <c r="U149" i="5"/>
  <c r="U158" i="5"/>
  <c r="U168" i="5"/>
  <c r="U181" i="5"/>
  <c r="U190" i="5"/>
  <c r="U200" i="5"/>
  <c r="U213" i="5"/>
  <c r="U222" i="5"/>
  <c r="U232" i="5"/>
  <c r="U245" i="5"/>
  <c r="U257" i="5"/>
  <c r="U273" i="5"/>
  <c r="U289" i="5"/>
  <c r="U255" i="5"/>
  <c r="U30" i="5"/>
  <c r="U69" i="5"/>
  <c r="U104" i="5"/>
  <c r="U118" i="5"/>
  <c r="U128" i="5"/>
  <c r="U141" i="5"/>
  <c r="U150" i="5"/>
  <c r="U160" i="5"/>
  <c r="U173" i="5"/>
  <c r="U182" i="5"/>
  <c r="U192" i="5"/>
  <c r="U205" i="5"/>
  <c r="U214" i="5"/>
  <c r="U224" i="5"/>
  <c r="U237" i="5"/>
  <c r="U246" i="5"/>
  <c r="U262" i="5"/>
  <c r="U278" i="5"/>
  <c r="U294" i="5"/>
  <c r="U307" i="5"/>
  <c r="U433" i="5"/>
  <c r="U497" i="5"/>
  <c r="U215" i="5"/>
  <c r="U244" i="5"/>
  <c r="U314" i="5"/>
  <c r="U37" i="5"/>
  <c r="U78" i="5"/>
  <c r="U109" i="5"/>
  <c r="U120" i="5"/>
  <c r="U133" i="5"/>
  <c r="U142" i="5"/>
  <c r="U152" i="5"/>
  <c r="U165" i="5"/>
  <c r="U174" i="5"/>
  <c r="U184" i="5"/>
  <c r="U197" i="5"/>
  <c r="U206" i="5"/>
  <c r="U216" i="5"/>
  <c r="U229" i="5"/>
  <c r="U238" i="5"/>
  <c r="U253" i="5"/>
  <c r="U265" i="5"/>
  <c r="U281" i="5"/>
  <c r="U297" i="5"/>
  <c r="U319" i="5"/>
  <c r="U45" i="5"/>
  <c r="U86" i="5"/>
  <c r="U112" i="5"/>
  <c r="U125" i="5"/>
  <c r="U134" i="5"/>
  <c r="U144" i="5"/>
  <c r="U157" i="5"/>
  <c r="U166" i="5"/>
  <c r="U176" i="5"/>
  <c r="U189" i="5"/>
  <c r="U198" i="5"/>
  <c r="U208" i="5"/>
  <c r="U221" i="5"/>
  <c r="U230" i="5"/>
  <c r="U240" i="5"/>
  <c r="U254" i="5"/>
  <c r="U270" i="5"/>
  <c r="U286" i="5"/>
  <c r="U302" i="5"/>
  <c r="U348" i="5"/>
  <c r="U465" i="5"/>
  <c r="U407" i="5"/>
  <c r="U336" i="5"/>
  <c r="U316" i="5"/>
  <c r="U322" i="5"/>
  <c r="U384" i="5"/>
  <c r="U334" i="5"/>
  <c r="U591" i="5"/>
  <c r="U529" i="5"/>
  <c r="U396" i="5"/>
  <c r="U506" i="5"/>
  <c r="U458" i="5"/>
  <c r="U567" i="5"/>
  <c r="U471" i="5"/>
  <c r="U571" i="5"/>
  <c r="U526" i="5"/>
  <c r="U478" i="5"/>
  <c r="U430" i="5"/>
  <c r="U435" i="5"/>
  <c r="U381" i="5"/>
  <c r="U357" i="5"/>
  <c r="U569" i="5"/>
  <c r="U400" i="5"/>
  <c r="U562" i="5"/>
  <c r="U530" i="5"/>
  <c r="U498" i="5"/>
  <c r="U466" i="5"/>
  <c r="U434" i="5"/>
  <c r="U551" i="5"/>
  <c r="U487" i="5"/>
  <c r="U592" i="5"/>
  <c r="U566" i="5"/>
  <c r="U572" i="5"/>
  <c r="U556" i="5"/>
  <c r="U540" i="5"/>
  <c r="U524" i="5"/>
  <c r="U508" i="5"/>
  <c r="U492" i="5"/>
  <c r="U476" i="5"/>
  <c r="U460" i="5"/>
  <c r="U444" i="5"/>
  <c r="U428" i="5"/>
  <c r="U575" i="5"/>
  <c r="U543" i="5"/>
  <c r="U511" i="5"/>
  <c r="U479" i="5"/>
  <c r="U447" i="5"/>
  <c r="U590" i="5"/>
  <c r="U574" i="5"/>
  <c r="U560" i="5"/>
  <c r="U544" i="5"/>
  <c r="U528" i="5"/>
  <c r="U512" i="5"/>
  <c r="U496" i="5"/>
  <c r="U480" i="5"/>
  <c r="U464" i="5"/>
  <c r="U448" i="5"/>
  <c r="U432" i="5"/>
  <c r="U579" i="5"/>
  <c r="U515" i="5"/>
  <c r="U451" i="5"/>
  <c r="U413" i="5"/>
  <c r="U397" i="5"/>
  <c r="U383" i="5"/>
  <c r="U375" i="5"/>
  <c r="U367" i="5"/>
  <c r="U359" i="5"/>
  <c r="U351" i="5"/>
  <c r="U343" i="5"/>
  <c r="U585" i="5"/>
  <c r="U521" i="5"/>
  <c r="U457" i="5"/>
  <c r="U408" i="5"/>
  <c r="U539" i="5"/>
  <c r="U475" i="5"/>
  <c r="U422" i="5"/>
  <c r="U406" i="5"/>
  <c r="U390" i="5"/>
  <c r="U374" i="5"/>
  <c r="U358" i="5"/>
  <c r="U342" i="5"/>
  <c r="U376" i="5"/>
  <c r="U323" i="5"/>
  <c r="U280" i="5"/>
  <c r="U364" i="5"/>
  <c r="U372" i="5"/>
  <c r="U328" i="5"/>
  <c r="U312" i="5"/>
  <c r="U420" i="5"/>
  <c r="U368" i="5"/>
  <c r="U327" i="5"/>
  <c r="U577" i="5"/>
  <c r="U513" i="5"/>
  <c r="U318" i="5"/>
  <c r="U239" i="5"/>
  <c r="U207" i="5"/>
  <c r="U191" i="5"/>
  <c r="U274" i="5"/>
  <c r="U247" i="5"/>
  <c r="U223" i="5"/>
  <c r="U163" i="5"/>
  <c r="U131" i="5"/>
  <c r="U99" i="5"/>
  <c r="U67" i="5"/>
  <c r="U35" i="5"/>
  <c r="U154" i="5"/>
  <c r="U132" i="5"/>
  <c r="U116" i="5"/>
  <c r="U100" i="5"/>
  <c r="U82" i="5"/>
  <c r="U68" i="5"/>
  <c r="U52" i="5"/>
  <c r="U34" i="5"/>
  <c r="U20" i="5"/>
  <c r="U70" i="5"/>
  <c r="U40" i="5"/>
  <c r="U8" i="5"/>
  <c r="U303" i="5"/>
  <c r="U271" i="5"/>
  <c r="U242" i="5"/>
  <c r="U233" i="5"/>
  <c r="U220" i="5"/>
  <c r="U210" i="5"/>
  <c r="U201" i="5"/>
  <c r="U188" i="5"/>
  <c r="U178" i="5"/>
  <c r="U169" i="5"/>
  <c r="U156" i="5"/>
  <c r="U138" i="5"/>
  <c r="U106" i="5"/>
  <c r="U74" i="5"/>
  <c r="U36" i="5"/>
  <c r="U54" i="5"/>
  <c r="U301" i="5"/>
  <c r="U292" i="5"/>
  <c r="U283" i="5"/>
  <c r="U269" i="5"/>
  <c r="U260" i="5"/>
  <c r="U243" i="5"/>
  <c r="U211" i="5"/>
  <c r="U175" i="5"/>
  <c r="U143" i="5"/>
  <c r="U111" i="5"/>
  <c r="U79" i="5"/>
  <c r="U47" i="5"/>
  <c r="U15" i="5"/>
  <c r="U331" i="5"/>
  <c r="U313" i="5"/>
  <c r="U411" i="5"/>
  <c r="U429" i="5"/>
  <c r="U461" i="5"/>
  <c r="U493" i="5"/>
  <c r="U525" i="5"/>
  <c r="U557" i="5"/>
  <c r="U589" i="5"/>
  <c r="U96" i="5"/>
  <c r="U80" i="5"/>
  <c r="U56" i="5"/>
  <c r="U13" i="5"/>
  <c r="U41" i="5"/>
  <c r="U187" i="5"/>
  <c r="U155" i="5"/>
  <c r="U123" i="5"/>
  <c r="U91" i="5"/>
  <c r="U59" i="5"/>
  <c r="U27" i="5"/>
  <c r="U146" i="5"/>
  <c r="U129" i="5"/>
  <c r="U113" i="5"/>
  <c r="U98" i="5"/>
  <c r="U81" i="5"/>
  <c r="U65" i="5"/>
  <c r="U49" i="5"/>
  <c r="U33" i="5"/>
  <c r="U17" i="5"/>
  <c r="U61" i="5"/>
  <c r="U29" i="5"/>
  <c r="U315" i="5"/>
  <c r="U295" i="5"/>
  <c r="U263" i="5"/>
  <c r="U241" i="5"/>
  <c r="U228" i="5"/>
  <c r="U218" i="5"/>
  <c r="U209" i="5"/>
  <c r="U196" i="5"/>
  <c r="U186" i="5"/>
  <c r="U177" i="5"/>
  <c r="U164" i="5"/>
  <c r="U153" i="5"/>
  <c r="U130" i="5"/>
  <c r="U97" i="5"/>
  <c r="U66" i="5"/>
  <c r="U26" i="5"/>
  <c r="U38" i="5"/>
  <c r="U300" i="5"/>
  <c r="U291" i="5"/>
  <c r="U277" i="5"/>
  <c r="U268" i="5"/>
  <c r="U259" i="5"/>
  <c r="U235" i="5"/>
  <c r="U203" i="5"/>
  <c r="U167" i="5"/>
  <c r="U135" i="5"/>
  <c r="U103" i="5"/>
  <c r="U71" i="5"/>
  <c r="U39" i="5"/>
  <c r="U317" i="5"/>
  <c r="U387" i="5"/>
  <c r="U395" i="5"/>
  <c r="U308" i="5"/>
  <c r="U437" i="5"/>
  <c r="U469" i="5"/>
  <c r="U501" i="5"/>
  <c r="U533" i="5"/>
  <c r="U565" i="5"/>
  <c r="U110" i="5"/>
  <c r="U93" i="5"/>
  <c r="U77" i="5"/>
  <c r="U46" i="5"/>
  <c r="U298" i="5"/>
  <c r="U290" i="5"/>
  <c r="U179" i="5"/>
  <c r="U147" i="5"/>
  <c r="U115" i="5"/>
  <c r="U83" i="5"/>
  <c r="U51" i="5"/>
  <c r="U19" i="5"/>
  <c r="U140" i="5"/>
  <c r="U124" i="5"/>
  <c r="U108" i="5"/>
  <c r="U90" i="5"/>
  <c r="U76" i="5"/>
  <c r="U60" i="5"/>
  <c r="U44" i="5"/>
  <c r="U28" i="5"/>
  <c r="U12" i="5"/>
  <c r="U53" i="5"/>
  <c r="U21" i="5"/>
  <c r="U310" i="5"/>
  <c r="U287" i="5"/>
  <c r="U250" i="5"/>
  <c r="U236" i="5"/>
  <c r="U226" i="5"/>
  <c r="U217" i="5"/>
  <c r="U204" i="5"/>
  <c r="U194" i="5"/>
  <c r="U185" i="5"/>
  <c r="U172" i="5"/>
  <c r="U162" i="5"/>
  <c r="U148" i="5"/>
  <c r="U122" i="5"/>
  <c r="U92" i="5"/>
  <c r="U58" i="5"/>
  <c r="U18" i="5"/>
  <c r="U22" i="5"/>
  <c r="U299" i="5"/>
  <c r="U285" i="5"/>
  <c r="U276" i="5"/>
  <c r="U267" i="5"/>
  <c r="U251" i="5"/>
  <c r="U227" i="5"/>
  <c r="U195" i="5"/>
  <c r="U159" i="5"/>
  <c r="U127" i="5"/>
  <c r="U95" i="5"/>
  <c r="U63" i="5"/>
  <c r="U31" i="5"/>
  <c r="U321" i="5"/>
  <c r="U419" i="5"/>
  <c r="U7" i="5"/>
  <c r="U403" i="5"/>
  <c r="U445" i="5"/>
  <c r="U477" i="5"/>
  <c r="U509" i="5"/>
  <c r="U541" i="5"/>
  <c r="U573" i="5"/>
  <c r="U102" i="5"/>
  <c r="U88" i="5"/>
  <c r="U72" i="5"/>
  <c r="U32" i="5"/>
  <c r="U282" i="5"/>
  <c r="U171" i="5"/>
  <c r="U139" i="5"/>
  <c r="U107" i="5"/>
  <c r="U75" i="5"/>
  <c r="U43" i="5"/>
  <c r="U11" i="5"/>
  <c r="U137" i="5"/>
  <c r="U121" i="5"/>
  <c r="U105" i="5"/>
  <c r="U89" i="5"/>
  <c r="U73" i="5"/>
  <c r="U57" i="5"/>
  <c r="U42" i="5"/>
  <c r="U25" i="5"/>
  <c r="U9" i="5"/>
  <c r="U48" i="5"/>
  <c r="U16" i="5"/>
  <c r="U306" i="5"/>
  <c r="U279" i="5"/>
  <c r="U249" i="5"/>
  <c r="U234" i="5"/>
  <c r="U225" i="5"/>
  <c r="U212" i="5"/>
  <c r="U202" i="5"/>
  <c r="U193" i="5"/>
  <c r="U180" i="5"/>
  <c r="U170" i="5"/>
  <c r="U161" i="5"/>
  <c r="U145" i="5"/>
  <c r="U114" i="5"/>
  <c r="U84" i="5"/>
  <c r="U50" i="5"/>
  <c r="U10" i="5"/>
  <c r="U311" i="5"/>
  <c r="U293" i="5"/>
  <c r="U284" i="5"/>
  <c r="U275" i="5"/>
  <c r="U261" i="5"/>
  <c r="U248" i="5"/>
  <c r="U219" i="5"/>
  <c r="U183" i="5"/>
  <c r="U151" i="5"/>
  <c r="U119" i="5"/>
  <c r="U87" i="5"/>
  <c r="U55" i="5"/>
  <c r="U23" i="5"/>
  <c r="U329" i="5"/>
  <c r="U309" i="5"/>
  <c r="U325" i="5"/>
  <c r="U423" i="5"/>
  <c r="U453" i="5"/>
  <c r="U485" i="5"/>
  <c r="U517" i="5"/>
  <c r="U549" i="5"/>
  <c r="U581" i="5"/>
  <c r="U101" i="5"/>
  <c r="U85" i="5"/>
  <c r="U64" i="5"/>
  <c r="U24" i="5"/>
  <c r="U266" i="5"/>
  <c r="U258" i="5"/>
  <c r="Q7" i="1"/>
  <c r="R7" i="1" l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G19" i="3"/>
  <c r="J19" i="3"/>
  <c r="N19" i="3"/>
  <c r="G23" i="3" l="1"/>
  <c r="G27" i="3" s="1"/>
  <c r="T8" i="1"/>
  <c r="T12" i="1"/>
  <c r="T16" i="1"/>
  <c r="T20" i="1"/>
  <c r="T24" i="1"/>
  <c r="T28" i="1"/>
  <c r="T32" i="1"/>
  <c r="T36" i="1"/>
  <c r="T40" i="1"/>
  <c r="T44" i="1"/>
  <c r="T48" i="1"/>
  <c r="T52" i="1"/>
  <c r="T56" i="1"/>
  <c r="T60" i="1"/>
  <c r="T64" i="1"/>
  <c r="T68" i="1"/>
  <c r="T72" i="1"/>
  <c r="T76" i="1"/>
  <c r="T80" i="1"/>
  <c r="T84" i="1"/>
  <c r="T88" i="1"/>
  <c r="T92" i="1"/>
  <c r="T96" i="1"/>
  <c r="T100" i="1"/>
  <c r="T104" i="1"/>
  <c r="T108" i="1"/>
  <c r="T112" i="1"/>
  <c r="T116" i="1"/>
  <c r="T120" i="1"/>
  <c r="T124" i="1"/>
  <c r="T128" i="1"/>
  <c r="T132" i="1"/>
  <c r="T136" i="1"/>
  <c r="T140" i="1"/>
  <c r="T144" i="1"/>
  <c r="T148" i="1"/>
  <c r="T152" i="1"/>
  <c r="T156" i="1"/>
  <c r="T160" i="1"/>
  <c r="T164" i="1"/>
  <c r="T168" i="1"/>
  <c r="T172" i="1"/>
  <c r="T176" i="1"/>
  <c r="T180" i="1"/>
  <c r="T184" i="1"/>
  <c r="T188" i="1"/>
  <c r="T192" i="1"/>
  <c r="T196" i="1"/>
  <c r="T200" i="1"/>
  <c r="T204" i="1"/>
  <c r="T208" i="1"/>
  <c r="T212" i="1"/>
  <c r="T216" i="1"/>
  <c r="T220" i="1"/>
  <c r="T224" i="1"/>
  <c r="T228" i="1"/>
  <c r="T232" i="1"/>
  <c r="T236" i="1"/>
  <c r="T240" i="1"/>
  <c r="T244" i="1"/>
  <c r="T248" i="1"/>
  <c r="T252" i="1"/>
  <c r="T256" i="1"/>
  <c r="T260" i="1"/>
  <c r="T264" i="1"/>
  <c r="T268" i="1"/>
  <c r="T272" i="1"/>
  <c r="T276" i="1"/>
  <c r="T280" i="1"/>
  <c r="T284" i="1"/>
  <c r="T288" i="1"/>
  <c r="T292" i="1"/>
  <c r="T296" i="1"/>
  <c r="T300" i="1"/>
  <c r="T304" i="1"/>
  <c r="T308" i="1"/>
  <c r="T312" i="1"/>
  <c r="T316" i="1"/>
  <c r="T320" i="1"/>
  <c r="T324" i="1"/>
  <c r="T328" i="1"/>
  <c r="T332" i="1"/>
  <c r="T336" i="1"/>
  <c r="T340" i="1"/>
  <c r="T344" i="1"/>
  <c r="T9" i="1"/>
  <c r="T13" i="1"/>
  <c r="T17" i="1"/>
  <c r="T21" i="1"/>
  <c r="T25" i="1"/>
  <c r="T29" i="1"/>
  <c r="T33" i="1"/>
  <c r="T37" i="1"/>
  <c r="T41" i="1"/>
  <c r="T45" i="1"/>
  <c r="T49" i="1"/>
  <c r="T53" i="1"/>
  <c r="T57" i="1"/>
  <c r="T61" i="1"/>
  <c r="T65" i="1"/>
  <c r="T69" i="1"/>
  <c r="T73" i="1"/>
  <c r="T77" i="1"/>
  <c r="T81" i="1"/>
  <c r="T85" i="1"/>
  <c r="T89" i="1"/>
  <c r="T93" i="1"/>
  <c r="T97" i="1"/>
  <c r="T101" i="1"/>
  <c r="T105" i="1"/>
  <c r="T109" i="1"/>
  <c r="T113" i="1"/>
  <c r="T117" i="1"/>
  <c r="T121" i="1"/>
  <c r="T125" i="1"/>
  <c r="T129" i="1"/>
  <c r="T133" i="1"/>
  <c r="T137" i="1"/>
  <c r="T141" i="1"/>
  <c r="T145" i="1"/>
  <c r="T149" i="1"/>
  <c r="T153" i="1"/>
  <c r="T157" i="1"/>
  <c r="T161" i="1"/>
  <c r="T165" i="1"/>
  <c r="T169" i="1"/>
  <c r="T173" i="1"/>
  <c r="T177" i="1"/>
  <c r="T181" i="1"/>
  <c r="T185" i="1"/>
  <c r="T189" i="1"/>
  <c r="T193" i="1"/>
  <c r="T197" i="1"/>
  <c r="T201" i="1"/>
  <c r="T205" i="1"/>
  <c r="T209" i="1"/>
  <c r="T213" i="1"/>
  <c r="T217" i="1"/>
  <c r="T221" i="1"/>
  <c r="T225" i="1"/>
  <c r="T229" i="1"/>
  <c r="T233" i="1"/>
  <c r="T237" i="1"/>
  <c r="T241" i="1"/>
  <c r="T245" i="1"/>
  <c r="T249" i="1"/>
  <c r="T253" i="1"/>
  <c r="T257" i="1"/>
  <c r="T261" i="1"/>
  <c r="T265" i="1"/>
  <c r="T269" i="1"/>
  <c r="T273" i="1"/>
  <c r="T277" i="1"/>
  <c r="T281" i="1"/>
  <c r="T285" i="1"/>
  <c r="T289" i="1"/>
  <c r="T293" i="1"/>
  <c r="T297" i="1"/>
  <c r="T301" i="1"/>
  <c r="T305" i="1"/>
  <c r="T309" i="1"/>
  <c r="T313" i="1"/>
  <c r="T317" i="1"/>
  <c r="T321" i="1"/>
  <c r="T325" i="1"/>
  <c r="T329" i="1"/>
  <c r="T333" i="1"/>
  <c r="T337" i="1"/>
  <c r="T341" i="1"/>
  <c r="T345" i="1"/>
  <c r="T10" i="1"/>
  <c r="T11" i="1"/>
  <c r="T15" i="1"/>
  <c r="T19" i="1"/>
  <c r="T23" i="1"/>
  <c r="T27" i="1"/>
  <c r="T31" i="1"/>
  <c r="T35" i="1"/>
  <c r="T39" i="1"/>
  <c r="T43" i="1"/>
  <c r="T47" i="1"/>
  <c r="T51" i="1"/>
  <c r="T55" i="1"/>
  <c r="T59" i="1"/>
  <c r="T63" i="1"/>
  <c r="T67" i="1"/>
  <c r="T71" i="1"/>
  <c r="T75" i="1"/>
  <c r="T79" i="1"/>
  <c r="T83" i="1"/>
  <c r="T87" i="1"/>
  <c r="T91" i="1"/>
  <c r="T95" i="1"/>
  <c r="T99" i="1"/>
  <c r="T103" i="1"/>
  <c r="T107" i="1"/>
  <c r="T111" i="1"/>
  <c r="T115" i="1"/>
  <c r="T119" i="1"/>
  <c r="T123" i="1"/>
  <c r="T127" i="1"/>
  <c r="T131" i="1"/>
  <c r="T135" i="1"/>
  <c r="T139" i="1"/>
  <c r="T143" i="1"/>
  <c r="T147" i="1"/>
  <c r="T151" i="1"/>
  <c r="T155" i="1"/>
  <c r="T159" i="1"/>
  <c r="T163" i="1"/>
  <c r="T167" i="1"/>
  <c r="T171" i="1"/>
  <c r="T175" i="1"/>
  <c r="T179" i="1"/>
  <c r="T183" i="1"/>
  <c r="T187" i="1"/>
  <c r="T191" i="1"/>
  <c r="T195" i="1"/>
  <c r="T199" i="1"/>
  <c r="T203" i="1"/>
  <c r="T207" i="1"/>
  <c r="T211" i="1"/>
  <c r="T215" i="1"/>
  <c r="T219" i="1"/>
  <c r="T223" i="1"/>
  <c r="T227" i="1"/>
  <c r="T231" i="1"/>
  <c r="T235" i="1"/>
  <c r="T239" i="1"/>
  <c r="T243" i="1"/>
  <c r="T247" i="1"/>
  <c r="T251" i="1"/>
  <c r="T255" i="1"/>
  <c r="T259" i="1"/>
  <c r="T263" i="1"/>
  <c r="T267" i="1"/>
  <c r="T271" i="1"/>
  <c r="T275" i="1"/>
  <c r="T279" i="1"/>
  <c r="T283" i="1"/>
  <c r="T287" i="1"/>
  <c r="T291" i="1"/>
  <c r="T295" i="1"/>
  <c r="T299" i="1"/>
  <c r="T303" i="1"/>
  <c r="T307" i="1"/>
  <c r="T311" i="1"/>
  <c r="T315" i="1"/>
  <c r="T319" i="1"/>
  <c r="T323" i="1"/>
  <c r="T327" i="1"/>
  <c r="T331" i="1"/>
  <c r="T335" i="1"/>
  <c r="T339" i="1"/>
  <c r="T343" i="1"/>
  <c r="T14" i="1"/>
  <c r="T62" i="1"/>
  <c r="T78" i="1"/>
  <c r="T18" i="1"/>
  <c r="T34" i="1"/>
  <c r="T50" i="1"/>
  <c r="T66" i="1"/>
  <c r="T22" i="1"/>
  <c r="T38" i="1"/>
  <c r="T54" i="1"/>
  <c r="T70" i="1"/>
  <c r="T86" i="1"/>
  <c r="T102" i="1"/>
  <c r="T118" i="1"/>
  <c r="T134" i="1"/>
  <c r="T150" i="1"/>
  <c r="T166" i="1"/>
  <c r="T182" i="1"/>
  <c r="T198" i="1"/>
  <c r="T214" i="1"/>
  <c r="T230" i="1"/>
  <c r="T246" i="1"/>
  <c r="T262" i="1"/>
  <c r="T278" i="1"/>
  <c r="T294" i="1"/>
  <c r="T310" i="1"/>
  <c r="T326" i="1"/>
  <c r="T342" i="1"/>
  <c r="T349" i="1"/>
  <c r="T353" i="1"/>
  <c r="T357" i="1"/>
  <c r="T361" i="1"/>
  <c r="T365" i="1"/>
  <c r="T369" i="1"/>
  <c r="T373" i="1"/>
  <c r="T377" i="1"/>
  <c r="T381" i="1"/>
  <c r="T385" i="1"/>
  <c r="T389" i="1"/>
  <c r="T393" i="1"/>
  <c r="T397" i="1"/>
  <c r="T401" i="1"/>
  <c r="T405" i="1"/>
  <c r="T409" i="1"/>
  <c r="T413" i="1"/>
  <c r="T417" i="1"/>
  <c r="T421" i="1"/>
  <c r="T425" i="1"/>
  <c r="T429" i="1"/>
  <c r="T433" i="1"/>
  <c r="T437" i="1"/>
  <c r="T441" i="1"/>
  <c r="T445" i="1"/>
  <c r="T449" i="1"/>
  <c r="T453" i="1"/>
  <c r="T457" i="1"/>
  <c r="T461" i="1"/>
  <c r="T465" i="1"/>
  <c r="T469" i="1"/>
  <c r="T473" i="1"/>
  <c r="T477" i="1"/>
  <c r="T481" i="1"/>
  <c r="T485" i="1"/>
  <c r="T489" i="1"/>
  <c r="T493" i="1"/>
  <c r="T497" i="1"/>
  <c r="T501" i="1"/>
  <c r="T505" i="1"/>
  <c r="T509" i="1"/>
  <c r="T513" i="1"/>
  <c r="T517" i="1"/>
  <c r="T521" i="1"/>
  <c r="T525" i="1"/>
  <c r="T529" i="1"/>
  <c r="T533" i="1"/>
  <c r="T537" i="1"/>
  <c r="T541" i="1"/>
  <c r="T545" i="1"/>
  <c r="T549" i="1"/>
  <c r="T553" i="1"/>
  <c r="T557" i="1"/>
  <c r="T561" i="1"/>
  <c r="T565" i="1"/>
  <c r="T569" i="1"/>
  <c r="T573" i="1"/>
  <c r="T577" i="1"/>
  <c r="T581" i="1"/>
  <c r="T585" i="1"/>
  <c r="T589" i="1"/>
  <c r="T7" i="1"/>
  <c r="T46" i="1"/>
  <c r="T110" i="1"/>
  <c r="T26" i="1"/>
  <c r="T42" i="1"/>
  <c r="T58" i="1"/>
  <c r="T74" i="1"/>
  <c r="T90" i="1"/>
  <c r="T106" i="1"/>
  <c r="T122" i="1"/>
  <c r="T138" i="1"/>
  <c r="T154" i="1"/>
  <c r="T170" i="1"/>
  <c r="T186" i="1"/>
  <c r="T202" i="1"/>
  <c r="T218" i="1"/>
  <c r="T234" i="1"/>
  <c r="T250" i="1"/>
  <c r="T266" i="1"/>
  <c r="T282" i="1"/>
  <c r="T298" i="1"/>
  <c r="T314" i="1"/>
  <c r="T330" i="1"/>
  <c r="T346" i="1"/>
  <c r="T350" i="1"/>
  <c r="T354" i="1"/>
  <c r="T358" i="1"/>
  <c r="T362" i="1"/>
  <c r="T366" i="1"/>
  <c r="T370" i="1"/>
  <c r="T374" i="1"/>
  <c r="T378" i="1"/>
  <c r="T382" i="1"/>
  <c r="T386" i="1"/>
  <c r="T390" i="1"/>
  <c r="T394" i="1"/>
  <c r="T398" i="1"/>
  <c r="T402" i="1"/>
  <c r="T406" i="1"/>
  <c r="T410" i="1"/>
  <c r="T414" i="1"/>
  <c r="T418" i="1"/>
  <c r="T422" i="1"/>
  <c r="T426" i="1"/>
  <c r="T430" i="1"/>
  <c r="T434" i="1"/>
  <c r="T438" i="1"/>
  <c r="T442" i="1"/>
  <c r="T446" i="1"/>
  <c r="T450" i="1"/>
  <c r="T454" i="1"/>
  <c r="T458" i="1"/>
  <c r="T462" i="1"/>
  <c r="T466" i="1"/>
  <c r="T470" i="1"/>
  <c r="T474" i="1"/>
  <c r="T478" i="1"/>
  <c r="T482" i="1"/>
  <c r="T486" i="1"/>
  <c r="T490" i="1"/>
  <c r="T494" i="1"/>
  <c r="T498" i="1"/>
  <c r="T502" i="1"/>
  <c r="T506" i="1"/>
  <c r="T510" i="1"/>
  <c r="T514" i="1"/>
  <c r="T518" i="1"/>
  <c r="T522" i="1"/>
  <c r="T526" i="1"/>
  <c r="T530" i="1"/>
  <c r="T534" i="1"/>
  <c r="T538" i="1"/>
  <c r="T542" i="1"/>
  <c r="T546" i="1"/>
  <c r="T550" i="1"/>
  <c r="T554" i="1"/>
  <c r="T558" i="1"/>
  <c r="T562" i="1"/>
  <c r="T566" i="1"/>
  <c r="T570" i="1"/>
  <c r="T574" i="1"/>
  <c r="T578" i="1"/>
  <c r="T582" i="1"/>
  <c r="T586" i="1"/>
  <c r="T590" i="1"/>
  <c r="T30" i="1"/>
  <c r="T94" i="1"/>
  <c r="T114" i="1"/>
  <c r="T146" i="1"/>
  <c r="T178" i="1"/>
  <c r="T210" i="1"/>
  <c r="T242" i="1"/>
  <c r="T274" i="1"/>
  <c r="T306" i="1"/>
  <c r="T338" i="1"/>
  <c r="T352" i="1"/>
  <c r="T360" i="1"/>
  <c r="T368" i="1"/>
  <c r="T376" i="1"/>
  <c r="T384" i="1"/>
  <c r="T392" i="1"/>
  <c r="T400" i="1"/>
  <c r="T408" i="1"/>
  <c r="T416" i="1"/>
  <c r="T424" i="1"/>
  <c r="T432" i="1"/>
  <c r="T440" i="1"/>
  <c r="T448" i="1"/>
  <c r="T456" i="1"/>
  <c r="T464" i="1"/>
  <c r="T472" i="1"/>
  <c r="T480" i="1"/>
  <c r="T488" i="1"/>
  <c r="T496" i="1"/>
  <c r="T504" i="1"/>
  <c r="T512" i="1"/>
  <c r="T520" i="1"/>
  <c r="T528" i="1"/>
  <c r="T536" i="1"/>
  <c r="T544" i="1"/>
  <c r="T552" i="1"/>
  <c r="T560" i="1"/>
  <c r="T568" i="1"/>
  <c r="T576" i="1"/>
  <c r="T584" i="1"/>
  <c r="T592" i="1"/>
  <c r="T194" i="1"/>
  <c r="T322" i="1"/>
  <c r="T356" i="1"/>
  <c r="T372" i="1"/>
  <c r="T388" i="1"/>
  <c r="T404" i="1"/>
  <c r="T420" i="1"/>
  <c r="T436" i="1"/>
  <c r="T452" i="1"/>
  <c r="T468" i="1"/>
  <c r="T484" i="1"/>
  <c r="T492" i="1"/>
  <c r="T508" i="1"/>
  <c r="T524" i="1"/>
  <c r="T540" i="1"/>
  <c r="T556" i="1"/>
  <c r="T572" i="1"/>
  <c r="T588" i="1"/>
  <c r="T142" i="1"/>
  <c r="T174" i="1"/>
  <c r="T270" i="1"/>
  <c r="T334" i="1"/>
  <c r="T359" i="1"/>
  <c r="T375" i="1"/>
  <c r="T383" i="1"/>
  <c r="T399" i="1"/>
  <c r="T423" i="1"/>
  <c r="T431" i="1"/>
  <c r="T447" i="1"/>
  <c r="T471" i="1"/>
  <c r="T487" i="1"/>
  <c r="T503" i="1"/>
  <c r="T519" i="1"/>
  <c r="T535" i="1"/>
  <c r="T551" i="1"/>
  <c r="T559" i="1"/>
  <c r="T583" i="1"/>
  <c r="T126" i="1"/>
  <c r="T158" i="1"/>
  <c r="T190" i="1"/>
  <c r="T222" i="1"/>
  <c r="T254" i="1"/>
  <c r="T286" i="1"/>
  <c r="T318" i="1"/>
  <c r="T347" i="1"/>
  <c r="T355" i="1"/>
  <c r="T363" i="1"/>
  <c r="T371" i="1"/>
  <c r="T379" i="1"/>
  <c r="T387" i="1"/>
  <c r="T395" i="1"/>
  <c r="T403" i="1"/>
  <c r="T411" i="1"/>
  <c r="T419" i="1"/>
  <c r="T427" i="1"/>
  <c r="T435" i="1"/>
  <c r="T443" i="1"/>
  <c r="T451" i="1"/>
  <c r="T459" i="1"/>
  <c r="T467" i="1"/>
  <c r="T475" i="1"/>
  <c r="T483" i="1"/>
  <c r="T491" i="1"/>
  <c r="T499" i="1"/>
  <c r="T507" i="1"/>
  <c r="T515" i="1"/>
  <c r="T523" i="1"/>
  <c r="T531" i="1"/>
  <c r="T539" i="1"/>
  <c r="T547" i="1"/>
  <c r="T555" i="1"/>
  <c r="T563" i="1"/>
  <c r="T571" i="1"/>
  <c r="T579" i="1"/>
  <c r="T587" i="1"/>
  <c r="T82" i="1"/>
  <c r="T130" i="1"/>
  <c r="T162" i="1"/>
  <c r="T226" i="1"/>
  <c r="T258" i="1"/>
  <c r="T290" i="1"/>
  <c r="T348" i="1"/>
  <c r="T364" i="1"/>
  <c r="T380" i="1"/>
  <c r="T396" i="1"/>
  <c r="T412" i="1"/>
  <c r="T428" i="1"/>
  <c r="T444" i="1"/>
  <c r="T460" i="1"/>
  <c r="T476" i="1"/>
  <c r="T500" i="1"/>
  <c r="T516" i="1"/>
  <c r="T532" i="1"/>
  <c r="T548" i="1"/>
  <c r="T564" i="1"/>
  <c r="T580" i="1"/>
  <c r="T98" i="1"/>
  <c r="T206" i="1"/>
  <c r="T238" i="1"/>
  <c r="T302" i="1"/>
  <c r="T351" i="1"/>
  <c r="T367" i="1"/>
  <c r="T391" i="1"/>
  <c r="T407" i="1"/>
  <c r="T415" i="1"/>
  <c r="T439" i="1"/>
  <c r="T455" i="1"/>
  <c r="T463" i="1"/>
  <c r="T479" i="1"/>
  <c r="T495" i="1"/>
  <c r="T511" i="1"/>
  <c r="T527" i="1"/>
  <c r="T543" i="1"/>
  <c r="T567" i="1"/>
  <c r="T575" i="1"/>
  <c r="T591" i="1"/>
  <c r="J27" i="3" l="1"/>
  <c r="N27" i="3"/>
  <c r="U8" i="1"/>
  <c r="U12" i="1"/>
  <c r="U16" i="1"/>
  <c r="U20" i="1"/>
  <c r="U24" i="1"/>
  <c r="U28" i="1"/>
  <c r="U32" i="1"/>
  <c r="U36" i="1"/>
  <c r="U40" i="1"/>
  <c r="U44" i="1"/>
  <c r="U48" i="1"/>
  <c r="U52" i="1"/>
  <c r="U56" i="1"/>
  <c r="U60" i="1"/>
  <c r="U64" i="1"/>
  <c r="U68" i="1"/>
  <c r="U72" i="1"/>
  <c r="U76" i="1"/>
  <c r="U80" i="1"/>
  <c r="U84" i="1"/>
  <c r="U88" i="1"/>
  <c r="U92" i="1"/>
  <c r="U96" i="1"/>
  <c r="U100" i="1"/>
  <c r="U104" i="1"/>
  <c r="U108" i="1"/>
  <c r="U112" i="1"/>
  <c r="U116" i="1"/>
  <c r="U120" i="1"/>
  <c r="U124" i="1"/>
  <c r="U128" i="1"/>
  <c r="U132" i="1"/>
  <c r="U136" i="1"/>
  <c r="U140" i="1"/>
  <c r="U144" i="1"/>
  <c r="U148" i="1"/>
  <c r="U152" i="1"/>
  <c r="U156" i="1"/>
  <c r="U160" i="1"/>
  <c r="U164" i="1"/>
  <c r="U168" i="1"/>
  <c r="U172" i="1"/>
  <c r="U176" i="1"/>
  <c r="U180" i="1"/>
  <c r="U184" i="1"/>
  <c r="U188" i="1"/>
  <c r="U9" i="1"/>
  <c r="U13" i="1"/>
  <c r="U17" i="1"/>
  <c r="U21" i="1"/>
  <c r="U25" i="1"/>
  <c r="U29" i="1"/>
  <c r="U33" i="1"/>
  <c r="U37" i="1"/>
  <c r="U41" i="1"/>
  <c r="U45" i="1"/>
  <c r="U49" i="1"/>
  <c r="U53" i="1"/>
  <c r="U57" i="1"/>
  <c r="U61" i="1"/>
  <c r="U65" i="1"/>
  <c r="U69" i="1"/>
  <c r="U73" i="1"/>
  <c r="U77" i="1"/>
  <c r="U81" i="1"/>
  <c r="U85" i="1"/>
  <c r="U89" i="1"/>
  <c r="U93" i="1"/>
  <c r="U97" i="1"/>
  <c r="U101" i="1"/>
  <c r="U105" i="1"/>
  <c r="U109" i="1"/>
  <c r="U113" i="1"/>
  <c r="U117" i="1"/>
  <c r="U121" i="1"/>
  <c r="U125" i="1"/>
  <c r="U129" i="1"/>
  <c r="U133" i="1"/>
  <c r="U137" i="1"/>
  <c r="U141" i="1"/>
  <c r="U145" i="1"/>
  <c r="U149" i="1"/>
  <c r="U153" i="1"/>
  <c r="U157" i="1"/>
  <c r="U161" i="1"/>
  <c r="U165" i="1"/>
  <c r="U169" i="1"/>
  <c r="U173" i="1"/>
  <c r="U177" i="1"/>
  <c r="U181" i="1"/>
  <c r="U185" i="1"/>
  <c r="U189" i="1"/>
  <c r="U193" i="1"/>
  <c r="U197" i="1"/>
  <c r="U201" i="1"/>
  <c r="U205" i="1"/>
  <c r="U209" i="1"/>
  <c r="U213" i="1"/>
  <c r="U217" i="1"/>
  <c r="U221" i="1"/>
  <c r="U225" i="1"/>
  <c r="U229" i="1"/>
  <c r="U233" i="1"/>
  <c r="U237" i="1"/>
  <c r="U241" i="1"/>
  <c r="U245" i="1"/>
  <c r="U249" i="1"/>
  <c r="U253" i="1"/>
  <c r="U257" i="1"/>
  <c r="U261" i="1"/>
  <c r="U265" i="1"/>
  <c r="U269" i="1"/>
  <c r="U273" i="1"/>
  <c r="U277" i="1"/>
  <c r="U281" i="1"/>
  <c r="U285" i="1"/>
  <c r="U289" i="1"/>
  <c r="U293" i="1"/>
  <c r="U297" i="1"/>
  <c r="U301" i="1"/>
  <c r="U305" i="1"/>
  <c r="U309" i="1"/>
  <c r="U313" i="1"/>
  <c r="U317" i="1"/>
  <c r="U321" i="1"/>
  <c r="U325" i="1"/>
  <c r="U329" i="1"/>
  <c r="U333" i="1"/>
  <c r="U337" i="1"/>
  <c r="U341" i="1"/>
  <c r="U345" i="1"/>
  <c r="U10" i="1"/>
  <c r="U14" i="1"/>
  <c r="U18" i="1"/>
  <c r="U22" i="1"/>
  <c r="U26" i="1"/>
  <c r="U30" i="1"/>
  <c r="U34" i="1"/>
  <c r="U38" i="1"/>
  <c r="U42" i="1"/>
  <c r="U46" i="1"/>
  <c r="U50" i="1"/>
  <c r="U54" i="1"/>
  <c r="U58" i="1"/>
  <c r="U62" i="1"/>
  <c r="U66" i="1"/>
  <c r="U70" i="1"/>
  <c r="U74" i="1"/>
  <c r="U78" i="1"/>
  <c r="U82" i="1"/>
  <c r="U86" i="1"/>
  <c r="U90" i="1"/>
  <c r="U94" i="1"/>
  <c r="U98" i="1"/>
  <c r="U102" i="1"/>
  <c r="U106" i="1"/>
  <c r="U110" i="1"/>
  <c r="U114" i="1"/>
  <c r="U118" i="1"/>
  <c r="U122" i="1"/>
  <c r="U126" i="1"/>
  <c r="U130" i="1"/>
  <c r="U134" i="1"/>
  <c r="U138" i="1"/>
  <c r="U142" i="1"/>
  <c r="U146" i="1"/>
  <c r="U150" i="1"/>
  <c r="U154" i="1"/>
  <c r="U158" i="1"/>
  <c r="U162" i="1"/>
  <c r="U166" i="1"/>
  <c r="U170" i="1"/>
  <c r="U174" i="1"/>
  <c r="U178" i="1"/>
  <c r="U182" i="1"/>
  <c r="U186" i="1"/>
  <c r="U190" i="1"/>
  <c r="U194" i="1"/>
  <c r="U198" i="1"/>
  <c r="U202" i="1"/>
  <c r="U206" i="1"/>
  <c r="U210" i="1"/>
  <c r="U214" i="1"/>
  <c r="U218" i="1"/>
  <c r="U222" i="1"/>
  <c r="U226" i="1"/>
  <c r="U230" i="1"/>
  <c r="U234" i="1"/>
  <c r="U238" i="1"/>
  <c r="U242" i="1"/>
  <c r="U246" i="1"/>
  <c r="U250" i="1"/>
  <c r="U254" i="1"/>
  <c r="U258" i="1"/>
  <c r="U262" i="1"/>
  <c r="U266" i="1"/>
  <c r="U270" i="1"/>
  <c r="U274" i="1"/>
  <c r="U278" i="1"/>
  <c r="U282" i="1"/>
  <c r="U286" i="1"/>
  <c r="U290" i="1"/>
  <c r="U294" i="1"/>
  <c r="U298" i="1"/>
  <c r="U302" i="1"/>
  <c r="U306" i="1"/>
  <c r="U310" i="1"/>
  <c r="U314" i="1"/>
  <c r="U318" i="1"/>
  <c r="U322" i="1"/>
  <c r="U326" i="1"/>
  <c r="U330" i="1"/>
  <c r="U334" i="1"/>
  <c r="U338" i="1"/>
  <c r="U342" i="1"/>
  <c r="U346" i="1"/>
  <c r="U23" i="1"/>
  <c r="U39" i="1"/>
  <c r="U55" i="1"/>
  <c r="U71" i="1"/>
  <c r="U87" i="1"/>
  <c r="U103" i="1"/>
  <c r="U119" i="1"/>
  <c r="U135" i="1"/>
  <c r="U151" i="1"/>
  <c r="U167" i="1"/>
  <c r="U183" i="1"/>
  <c r="U195" i="1"/>
  <c r="U203" i="1"/>
  <c r="U211" i="1"/>
  <c r="U219" i="1"/>
  <c r="U227" i="1"/>
  <c r="U235" i="1"/>
  <c r="U243" i="1"/>
  <c r="U251" i="1"/>
  <c r="U259" i="1"/>
  <c r="U267" i="1"/>
  <c r="U275" i="1"/>
  <c r="U283" i="1"/>
  <c r="U291" i="1"/>
  <c r="U299" i="1"/>
  <c r="U307" i="1"/>
  <c r="U315" i="1"/>
  <c r="U323" i="1"/>
  <c r="U331" i="1"/>
  <c r="U339" i="1"/>
  <c r="U347" i="1"/>
  <c r="U351" i="1"/>
  <c r="U355" i="1"/>
  <c r="U359" i="1"/>
  <c r="U363" i="1"/>
  <c r="U367" i="1"/>
  <c r="U371" i="1"/>
  <c r="U11" i="1"/>
  <c r="U27" i="1"/>
  <c r="U43" i="1"/>
  <c r="U59" i="1"/>
  <c r="U75" i="1"/>
  <c r="U91" i="1"/>
  <c r="U107" i="1"/>
  <c r="U123" i="1"/>
  <c r="U139" i="1"/>
  <c r="U155" i="1"/>
  <c r="U171" i="1"/>
  <c r="U187" i="1"/>
  <c r="U196" i="1"/>
  <c r="U204" i="1"/>
  <c r="U212" i="1"/>
  <c r="U220" i="1"/>
  <c r="U228" i="1"/>
  <c r="U236" i="1"/>
  <c r="U244" i="1"/>
  <c r="U252" i="1"/>
  <c r="U260" i="1"/>
  <c r="U268" i="1"/>
  <c r="U276" i="1"/>
  <c r="U284" i="1"/>
  <c r="U292" i="1"/>
  <c r="U300" i="1"/>
  <c r="U308" i="1"/>
  <c r="U316" i="1"/>
  <c r="U324" i="1"/>
  <c r="U332" i="1"/>
  <c r="U340" i="1"/>
  <c r="U348" i="1"/>
  <c r="U352" i="1"/>
  <c r="U356" i="1"/>
  <c r="U360" i="1"/>
  <c r="U364" i="1"/>
  <c r="U368" i="1"/>
  <c r="U372" i="1"/>
  <c r="U376" i="1"/>
  <c r="U380" i="1"/>
  <c r="U384" i="1"/>
  <c r="U388" i="1"/>
  <c r="U392" i="1"/>
  <c r="U396" i="1"/>
  <c r="U400" i="1"/>
  <c r="U404" i="1"/>
  <c r="U408" i="1"/>
  <c r="U412" i="1"/>
  <c r="U416" i="1"/>
  <c r="U420" i="1"/>
  <c r="U424" i="1"/>
  <c r="U428" i="1"/>
  <c r="U432" i="1"/>
  <c r="U436" i="1"/>
  <c r="U440" i="1"/>
  <c r="U444" i="1"/>
  <c r="U448" i="1"/>
  <c r="U452" i="1"/>
  <c r="U456" i="1"/>
  <c r="U460" i="1"/>
  <c r="U464" i="1"/>
  <c r="U468" i="1"/>
  <c r="U472" i="1"/>
  <c r="U476" i="1"/>
  <c r="U480" i="1"/>
  <c r="U484" i="1"/>
  <c r="U488" i="1"/>
  <c r="U492" i="1"/>
  <c r="U496" i="1"/>
  <c r="U500" i="1"/>
  <c r="U504" i="1"/>
  <c r="U508" i="1"/>
  <c r="U512" i="1"/>
  <c r="U516" i="1"/>
  <c r="U520" i="1"/>
  <c r="U524" i="1"/>
  <c r="U528" i="1"/>
  <c r="U532" i="1"/>
  <c r="U536" i="1"/>
  <c r="U540" i="1"/>
  <c r="U544" i="1"/>
  <c r="U548" i="1"/>
  <c r="U552" i="1"/>
  <c r="U556" i="1"/>
  <c r="U560" i="1"/>
  <c r="U15" i="1"/>
  <c r="U31" i="1"/>
  <c r="U47" i="1"/>
  <c r="U63" i="1"/>
  <c r="U79" i="1"/>
  <c r="U95" i="1"/>
  <c r="U111" i="1"/>
  <c r="U127" i="1"/>
  <c r="U143" i="1"/>
  <c r="U159" i="1"/>
  <c r="U175" i="1"/>
  <c r="U191" i="1"/>
  <c r="U199" i="1"/>
  <c r="U207" i="1"/>
  <c r="U215" i="1"/>
  <c r="U223" i="1"/>
  <c r="U231" i="1"/>
  <c r="U239" i="1"/>
  <c r="U247" i="1"/>
  <c r="U255" i="1"/>
  <c r="U263" i="1"/>
  <c r="U271" i="1"/>
  <c r="U279" i="1"/>
  <c r="U287" i="1"/>
  <c r="U295" i="1"/>
  <c r="U303" i="1"/>
  <c r="U311" i="1"/>
  <c r="U319" i="1"/>
  <c r="U327" i="1"/>
  <c r="U335" i="1"/>
  <c r="U343" i="1"/>
  <c r="U349" i="1"/>
  <c r="U353" i="1"/>
  <c r="U357" i="1"/>
  <c r="U361" i="1"/>
  <c r="U365" i="1"/>
  <c r="U369" i="1"/>
  <c r="U373" i="1"/>
  <c r="U377" i="1"/>
  <c r="U381" i="1"/>
  <c r="U385" i="1"/>
  <c r="U389" i="1"/>
  <c r="U393" i="1"/>
  <c r="U397" i="1"/>
  <c r="U401" i="1"/>
  <c r="U405" i="1"/>
  <c r="U409" i="1"/>
  <c r="U413" i="1"/>
  <c r="U417" i="1"/>
  <c r="U421" i="1"/>
  <c r="U425" i="1"/>
  <c r="U429" i="1"/>
  <c r="U433" i="1"/>
  <c r="U437" i="1"/>
  <c r="U441" i="1"/>
  <c r="U445" i="1"/>
  <c r="U449" i="1"/>
  <c r="U453" i="1"/>
  <c r="U457" i="1"/>
  <c r="U461" i="1"/>
  <c r="U465" i="1"/>
  <c r="U469" i="1"/>
  <c r="U473" i="1"/>
  <c r="U477" i="1"/>
  <c r="U481" i="1"/>
  <c r="U485" i="1"/>
  <c r="U489" i="1"/>
  <c r="U493" i="1"/>
  <c r="U497" i="1"/>
  <c r="U501" i="1"/>
  <c r="U505" i="1"/>
  <c r="U509" i="1"/>
  <c r="U513" i="1"/>
  <c r="U517" i="1"/>
  <c r="U521" i="1"/>
  <c r="U525" i="1"/>
  <c r="U529" i="1"/>
  <c r="U533" i="1"/>
  <c r="U537" i="1"/>
  <c r="U541" i="1"/>
  <c r="U545" i="1"/>
  <c r="U549" i="1"/>
  <c r="U553" i="1"/>
  <c r="U557" i="1"/>
  <c r="U561" i="1"/>
  <c r="U51" i="1"/>
  <c r="U115" i="1"/>
  <c r="U179" i="1"/>
  <c r="U216" i="1"/>
  <c r="U248" i="1"/>
  <c r="U280" i="1"/>
  <c r="U312" i="1"/>
  <c r="U344" i="1"/>
  <c r="U362" i="1"/>
  <c r="U375" i="1"/>
  <c r="U383" i="1"/>
  <c r="U391" i="1"/>
  <c r="U399" i="1"/>
  <c r="U407" i="1"/>
  <c r="U415" i="1"/>
  <c r="U423" i="1"/>
  <c r="U431" i="1"/>
  <c r="U439" i="1"/>
  <c r="U447" i="1"/>
  <c r="U455" i="1"/>
  <c r="U463" i="1"/>
  <c r="U471" i="1"/>
  <c r="U479" i="1"/>
  <c r="U487" i="1"/>
  <c r="U495" i="1"/>
  <c r="U503" i="1"/>
  <c r="U511" i="1"/>
  <c r="U519" i="1"/>
  <c r="U527" i="1"/>
  <c r="U535" i="1"/>
  <c r="U543" i="1"/>
  <c r="U551" i="1"/>
  <c r="U559" i="1"/>
  <c r="U565" i="1"/>
  <c r="U569" i="1"/>
  <c r="U573" i="1"/>
  <c r="U577" i="1"/>
  <c r="U581" i="1"/>
  <c r="U585" i="1"/>
  <c r="U589" i="1"/>
  <c r="U7" i="1"/>
  <c r="U67" i="1"/>
  <c r="U131" i="1"/>
  <c r="U192" i="1"/>
  <c r="U224" i="1"/>
  <c r="U256" i="1"/>
  <c r="U288" i="1"/>
  <c r="U320" i="1"/>
  <c r="U350" i="1"/>
  <c r="U366" i="1"/>
  <c r="U378" i="1"/>
  <c r="U386" i="1"/>
  <c r="U394" i="1"/>
  <c r="U402" i="1"/>
  <c r="U410" i="1"/>
  <c r="U418" i="1"/>
  <c r="U426" i="1"/>
  <c r="U434" i="1"/>
  <c r="U442" i="1"/>
  <c r="U450" i="1"/>
  <c r="U458" i="1"/>
  <c r="U466" i="1"/>
  <c r="U474" i="1"/>
  <c r="U482" i="1"/>
  <c r="U490" i="1"/>
  <c r="U498" i="1"/>
  <c r="U506" i="1"/>
  <c r="U514" i="1"/>
  <c r="U522" i="1"/>
  <c r="U530" i="1"/>
  <c r="U538" i="1"/>
  <c r="U546" i="1"/>
  <c r="U554" i="1"/>
  <c r="U562" i="1"/>
  <c r="U566" i="1"/>
  <c r="U570" i="1"/>
  <c r="U574" i="1"/>
  <c r="U578" i="1"/>
  <c r="U582" i="1"/>
  <c r="U586" i="1"/>
  <c r="U590" i="1"/>
  <c r="U19" i="1"/>
  <c r="U83" i="1"/>
  <c r="U147" i="1"/>
  <c r="U200" i="1"/>
  <c r="U232" i="1"/>
  <c r="U264" i="1"/>
  <c r="U296" i="1"/>
  <c r="U328" i="1"/>
  <c r="U354" i="1"/>
  <c r="U370" i="1"/>
  <c r="U379" i="1"/>
  <c r="U387" i="1"/>
  <c r="U395" i="1"/>
  <c r="U403" i="1"/>
  <c r="U411" i="1"/>
  <c r="U419" i="1"/>
  <c r="U427" i="1"/>
  <c r="U435" i="1"/>
  <c r="U443" i="1"/>
  <c r="U451" i="1"/>
  <c r="U459" i="1"/>
  <c r="U467" i="1"/>
  <c r="U475" i="1"/>
  <c r="U483" i="1"/>
  <c r="U491" i="1"/>
  <c r="U499" i="1"/>
  <c r="U507" i="1"/>
  <c r="U515" i="1"/>
  <c r="U523" i="1"/>
  <c r="U531" i="1"/>
  <c r="U539" i="1"/>
  <c r="U547" i="1"/>
  <c r="U555" i="1"/>
  <c r="U563" i="1"/>
  <c r="U567" i="1"/>
  <c r="U571" i="1"/>
  <c r="U575" i="1"/>
  <c r="U579" i="1"/>
  <c r="U583" i="1"/>
  <c r="U587" i="1"/>
  <c r="U591" i="1"/>
  <c r="U35" i="1"/>
  <c r="U99" i="1"/>
  <c r="U163" i="1"/>
  <c r="U208" i="1"/>
  <c r="U240" i="1"/>
  <c r="U272" i="1"/>
  <c r="U304" i="1"/>
  <c r="U336" i="1"/>
  <c r="U358" i="1"/>
  <c r="U374" i="1"/>
  <c r="U382" i="1"/>
  <c r="U390" i="1"/>
  <c r="U398" i="1"/>
  <c r="U406" i="1"/>
  <c r="U414" i="1"/>
  <c r="U422" i="1"/>
  <c r="U430" i="1"/>
  <c r="U438" i="1"/>
  <c r="U446" i="1"/>
  <c r="U454" i="1"/>
  <c r="U462" i="1"/>
  <c r="U470" i="1"/>
  <c r="U478" i="1"/>
  <c r="U486" i="1"/>
  <c r="U494" i="1"/>
  <c r="U502" i="1"/>
  <c r="U510" i="1"/>
  <c r="U518" i="1"/>
  <c r="U526" i="1"/>
  <c r="U534" i="1"/>
  <c r="U542" i="1"/>
  <c r="U550" i="1"/>
  <c r="U558" i="1"/>
  <c r="U564" i="1"/>
  <c r="U568" i="1"/>
  <c r="U572" i="1"/>
  <c r="U576" i="1"/>
  <c r="U580" i="1"/>
  <c r="U584" i="1"/>
  <c r="U588" i="1"/>
  <c r="U592" i="1"/>
</calcChain>
</file>

<file path=xl/sharedStrings.xml><?xml version="1.0" encoding="utf-8"?>
<sst xmlns="http://schemas.openxmlformats.org/spreadsheetml/2006/main" count="7118" uniqueCount="383">
  <si>
    <t>Fund Name</t>
  </si>
  <si>
    <t>Rating</t>
  </si>
  <si>
    <t>VR Opinion</t>
  </si>
  <si>
    <t>Category</t>
  </si>
  <si>
    <t>1 Year Returns (%)</t>
  </si>
  <si>
    <t>1 Year SIP Returns (%)</t>
  </si>
  <si>
    <t>3 Year Returns (%)</t>
  </si>
  <si>
    <t>3 Year SIP Returns (%)</t>
  </si>
  <si>
    <t>5 Year Returns (%)</t>
  </si>
  <si>
    <t>Expense Ratio (%)</t>
  </si>
  <si>
    <t>Riskometer</t>
  </si>
  <si>
    <t>Return Grade</t>
  </si>
  <si>
    <t>Plan</t>
  </si>
  <si>
    <t>Aditya Birla Sun Life Large Cap Fund - Regular Plan</t>
  </si>
  <si>
    <t>Unlock</t>
  </si>
  <si>
    <t>Equity: Large Cap</t>
  </si>
  <si>
    <t>Very High</t>
  </si>
  <si>
    <t>Above Avg.</t>
  </si>
  <si>
    <t>Direct</t>
  </si>
  <si>
    <t>Aditya Birla Sun Life Nifty 50 Equal Weight Index Fund - Regular Plan</t>
  </si>
  <si>
    <t>Aditya Birla Sun Life Nifty Next 50 Index Fund - Regular Plan</t>
  </si>
  <si>
    <t>Bandhan Large Cap Fund - Regular Plan</t>
  </si>
  <si>
    <t>Baroda BNP Paribas Large Cap Fund - Regular Plan</t>
  </si>
  <si>
    <t>Canara Robeco Large Cap Fund - Regular Plan</t>
  </si>
  <si>
    <t>Avg.</t>
  </si>
  <si>
    <t>DSP Large Cap Fund - Regular Plan</t>
  </si>
  <si>
    <t>DSP Nifty 50 Equal Weight Index Fund - Regular Plan</t>
  </si>
  <si>
    <t>DSP Nifty Next 50 Index Fund - Regular Plan</t>
  </si>
  <si>
    <t>High</t>
  </si>
  <si>
    <t>Edelweiss Large Cap Fund - Regular Plan</t>
  </si>
  <si>
    <t>HDFC Large Cap Fund - Regular Plan</t>
  </si>
  <si>
    <t>HDFC NIFTY 100 Equal Weight Index Fund - Regular Plan</t>
  </si>
  <si>
    <t>HDFC NIFTY50 Equal Weight Index Fund - Regular Plan</t>
  </si>
  <si>
    <t>ICICI Prudential BHARAT 22 FOF</t>
  </si>
  <si>
    <t>ICICI Prudential Large Cap Fund</t>
  </si>
  <si>
    <t>ICICI Prudential Nifty 100 Low Volatility 30 ETF FOF</t>
  </si>
  <si>
    <t>ICICI Prudential Nifty50 Equal Weight Index Fund</t>
  </si>
  <si>
    <t>Invesco India Largecap Fund - Regular Plan</t>
  </si>
  <si>
    <t>Kotak Large Cap Fund - Regular Plan</t>
  </si>
  <si>
    <t>Kotak Nifty Next 50 Index Fund - Regular Plan</t>
  </si>
  <si>
    <t>Mirae Asset Diversified Equity Allocator Passive FoF - Regular Plan</t>
  </si>
  <si>
    <t>Navi Nifty Next 50 Index Fund - Regular Plan</t>
  </si>
  <si>
    <t>Nippon India Large Cap Fund</t>
  </si>
  <si>
    <t>Nippon India Nifty Next 50 Junior BeES FoF - Regular Plan</t>
  </si>
  <si>
    <t>SBI Large Cap Fund</t>
  </si>
  <si>
    <t>SBI Nifty Next 50 Index Fund - Regular Plan</t>
  </si>
  <si>
    <t>Sundaram Nifty 100 Equal Weight Fund</t>
  </si>
  <si>
    <t>Tata Large Cap Fund - Regular Plan</t>
  </si>
  <si>
    <t>WhiteOak Capital Large Cap Fund - Regular Plan</t>
  </si>
  <si>
    <t>Bandhan Large &amp; Mid Cap Fund - Regular Plan</t>
  </si>
  <si>
    <t>Equity: Large &amp; MidCap</t>
  </si>
  <si>
    <t>DSP Large &amp; Mid Cap Fund - Regular Plan</t>
  </si>
  <si>
    <t>HDFC Large and Mid Cap Fund - Regular Plan</t>
  </si>
  <si>
    <t>ICICI Prudential Large &amp; Mid Cap Fund</t>
  </si>
  <si>
    <t>Invesco India Large &amp; Mid Cap Fund - Regular Plan</t>
  </si>
  <si>
    <t>Motilal Oswal Large and Midcap Fund - Regular Plan</t>
  </si>
  <si>
    <t>Nippon India Vision Large &amp; Mid Cap Fund</t>
  </si>
  <si>
    <t>SBI Large &amp; Midcap Fund</t>
  </si>
  <si>
    <t>UTI Large &amp; Mid Cap Fund - Regular Plan</t>
  </si>
  <si>
    <t>Aditya Birla Sun Life Flexi Cap Fund - Regular Plan</t>
  </si>
  <si>
    <t>Equity: Flexi Cap</t>
  </si>
  <si>
    <t>Bank of India Flexi Cap Fund - Regular Plan</t>
  </si>
  <si>
    <t>Canara Robeco Focused Fund - Regular Plan</t>
  </si>
  <si>
    <t>Edelweiss Flexi Cap Fund - Regular Plan</t>
  </si>
  <si>
    <t>Edelweiss Focused Fund - Regular Plan</t>
  </si>
  <si>
    <t>Franklin India Flexi Cap Fund - Regular Plan</t>
  </si>
  <si>
    <t>Franklin India Focused Equity Fund - Regular Plan</t>
  </si>
  <si>
    <t>HDFC Flexi Cap Fund - Regular Plan</t>
  </si>
  <si>
    <t>HDFC Focused Fund - Regular Plan</t>
  </si>
  <si>
    <t>HDFC Retirement Savings Fund - Equity Plan - Regular Plan</t>
  </si>
  <si>
    <t>HSBC Flexi Cap Fund</t>
  </si>
  <si>
    <t>ICICI Prudential Diversified Equity All Cap Omni FoF</t>
  </si>
  <si>
    <t>ICICI Prudential Flexicap Fund</t>
  </si>
  <si>
    <t>ICICI Prudential Focused Equity Fund</t>
  </si>
  <si>
    <t>ICICI Prudential Retirement Fund - Pure Equity Plan</t>
  </si>
  <si>
    <t>Invesco India Flexi Cap Fund - Regular Plan</t>
  </si>
  <si>
    <t>Invesco India Focused Fund - Regular Plan</t>
  </si>
  <si>
    <t>ITI Flexi Cap Fund - Regular Plan</t>
  </si>
  <si>
    <t>JM Flexicap Fund</t>
  </si>
  <si>
    <t>Kotak Focused Fund - Regular Plan</t>
  </si>
  <si>
    <t>Mahindra Manulife Focused Fund - Regular Plan</t>
  </si>
  <si>
    <t>Nippon India Retirement Fund - Wealth Creation Scheme</t>
  </si>
  <si>
    <t>Parag Parikh Flexi Cap Fund - Regular Plan</t>
  </si>
  <si>
    <t>SBI Focused Fund</t>
  </si>
  <si>
    <t>Union Retirement Fund - Regular Plan</t>
  </si>
  <si>
    <t>WhiteOak Capital Flexi Cap Fund - Regular Plan</t>
  </si>
  <si>
    <t>Axis Multicap Fund - Regular Plan</t>
  </si>
  <si>
    <t>Equity: Multi Cap</t>
  </si>
  <si>
    <t>Bank of India Multi Cap Fund - Regular Plan</t>
  </si>
  <si>
    <t>HSBC Multi Cap Fund - Regular Plan</t>
  </si>
  <si>
    <t>ICICI Prudential Multicap Fund</t>
  </si>
  <si>
    <t>Kotak Multicap Fund - Regular Plan</t>
  </si>
  <si>
    <t>Mahindra Manulife Multi Cap Fund - Regular Plan</t>
  </si>
  <si>
    <t>Nippon India Multi Cap Fund</t>
  </si>
  <si>
    <t>Edelweiss Mid Cap Fund - Regular Plan</t>
  </si>
  <si>
    <t>Equity: Mid Cap</t>
  </si>
  <si>
    <t>HDFC Mid Cap Fund - Regular Plan</t>
  </si>
  <si>
    <t>ICICI Prudential Midcap Fund</t>
  </si>
  <si>
    <t>Invesco India Mid Cap Fund - Regular Plan</t>
  </si>
  <si>
    <t>ITI Mid Cap Fund - Regular Plan</t>
  </si>
  <si>
    <t>JM Midcap Fund - Regular Plan</t>
  </si>
  <si>
    <t>Kotak Midcap Fund - Regular Plan</t>
  </si>
  <si>
    <t>Mahindra Manulife Mid Cap Fund - Regular Plan</t>
  </si>
  <si>
    <t>Motilal Oswal Midcap Fund - Regular Plan</t>
  </si>
  <si>
    <t>Nippon India Growth Mid Cap Fund</t>
  </si>
  <si>
    <t>Sundaram Mid Cap Fund - Regular Plan</t>
  </si>
  <si>
    <t>WhiteOak Capital Mid Cap Fund - Regular Plan</t>
  </si>
  <si>
    <t>Axis Nifty Smallcap 50 Index Fund - Regular Plan</t>
  </si>
  <si>
    <t>Equity: Small Cap</t>
  </si>
  <si>
    <t>Axis Small Cap Fund - Regular Plan</t>
  </si>
  <si>
    <t>Below Avg.</t>
  </si>
  <si>
    <t>Bandhan Small Cap Fund - Regular Plan</t>
  </si>
  <si>
    <t>Edelweiss Small Cap Fund - Regular Plan</t>
  </si>
  <si>
    <t>HDFC Small Cap Fund - Regular Plan</t>
  </si>
  <si>
    <t>Invesco India Smallcap Fund - Regular Plan</t>
  </si>
  <si>
    <t>ITI Small Cap Fund - Regular Plan</t>
  </si>
  <si>
    <t>Kotak Nifty Smallcap 50 Index Fund - Regular Plan</t>
  </si>
  <si>
    <t>Mahindra Manulife Small Cap Fund - Regular Plan</t>
  </si>
  <si>
    <t>Nippon India Small Cap Fund</t>
  </si>
  <si>
    <t>Quant Small Cap Fund</t>
  </si>
  <si>
    <t>Sundaram Small Cap Fund - Regular Plan</t>
  </si>
  <si>
    <t>Axis Value Fund - Regular Plan</t>
  </si>
  <si>
    <t>Equity: Value Oriented</t>
  </si>
  <si>
    <t>Bandhan Value Fund - Regular Plan</t>
  </si>
  <si>
    <t>DSP Value Fund - Regular Plan</t>
  </si>
  <si>
    <t>HSBC Value Fund</t>
  </si>
  <si>
    <t>ICICI Prudential Value Fund</t>
  </si>
  <si>
    <t>Kotak Contra Fund - Regular Plan</t>
  </si>
  <si>
    <t>Motilal Oswal BSE Enhanced Value Index Fund - Regular Plan</t>
  </si>
  <si>
    <t>Nippon India Value Fund</t>
  </si>
  <si>
    <t>SBI Contra Fund</t>
  </si>
  <si>
    <t>Bandhan ELSS Tax Saver Fund - Regular Plan</t>
  </si>
  <si>
    <t>Equity: ELSS</t>
  </si>
  <si>
    <t>Baroda BNP Paribas ELSS Tax Saver Fund - Regular Plan</t>
  </si>
  <si>
    <t>DSP ELSS Tax Saver Fund - Regular Plan</t>
  </si>
  <si>
    <t>Franklin India ELSS Tax Saver Fund - Regular Plan</t>
  </si>
  <si>
    <t>HDFC ELSS Tax Saver Fund - Regular Plan</t>
  </si>
  <si>
    <t>HSBC ELSS Tax Saver Fund</t>
  </si>
  <si>
    <t>JM ELSS Tax Saver Fund</t>
  </si>
  <si>
    <t>Motilal Oswal ELSS Tax Saver Fund - Regular Plan</t>
  </si>
  <si>
    <t>Nippon India ELSS Tax Saver Fund</t>
  </si>
  <si>
    <t>Parag Parikh ELSS Tax Saver Fund - Regular Plan</t>
  </si>
  <si>
    <t>Quantum ELSS Tax Saver Fund - Regular Plan</t>
  </si>
  <si>
    <t>SBI ELSS Tax Saver Fund - Regular Plan</t>
  </si>
  <si>
    <t>WhiteOak Capital ELSS Tax Saver Fund - Regular Plan</t>
  </si>
  <si>
    <t>Invesco India Financial Services Fund - Regular Plan</t>
  </si>
  <si>
    <t>Equity: Sectoral-Banking</t>
  </si>
  <si>
    <t>Motilal Oswal BSE Financials ex Bank 30 Index Fund - Regular Plan</t>
  </si>
  <si>
    <t>Nippon India Banking &amp; Financial Services Fund</t>
  </si>
  <si>
    <t>SBI Banking &amp; Financial Services Fund - Regular Plan</t>
  </si>
  <si>
    <t>Sundaram Financial Services Opportunities Fund - Regular Plan</t>
  </si>
  <si>
    <t>ICICI Prudential Pharma Healthcare and Diagnostics (P.H.D) Fund</t>
  </si>
  <si>
    <t>Equity: Sectoral-Pharma</t>
  </si>
  <si>
    <t>SBI Healthcare Opportunities Fund</t>
  </si>
  <si>
    <t>UTI Healthcare Fund - Regular Plan</t>
  </si>
  <si>
    <t>Baroda BNP Paribas India Consumption Fund - Regular Plan</t>
  </si>
  <si>
    <t>Equity: Thematic-Consumption</t>
  </si>
  <si>
    <t>ICICI Prudential Bharat Consumption Fund</t>
  </si>
  <si>
    <t>Mirae Asset Great Consumer Fund - Regular Plan</t>
  </si>
  <si>
    <t>Nippon India Consumption Fund</t>
  </si>
  <si>
    <t>Tata India Consumer Fund - Regular Plan</t>
  </si>
  <si>
    <t>Bank of India Manufacturing &amp; Infrastructure Fund - Regular Plan</t>
  </si>
  <si>
    <t>Equity: Thematic-Infrastructure</t>
  </si>
  <si>
    <t>Canara Robeco Infrastructure Fund - Regular Plan</t>
  </si>
  <si>
    <t>DSP India T.I.G.E.R. Fund - Regular Plan</t>
  </si>
  <si>
    <t>Franklin Build India Fund - Regular Plan</t>
  </si>
  <si>
    <t>HDFC Infrastructure Fund - Regular Plan</t>
  </si>
  <si>
    <t>ICICI Prudential Infrastructure Fund</t>
  </si>
  <si>
    <t>LIC MF Infrastructure Fund</t>
  </si>
  <si>
    <t>ICICI Prudential Bond Fund</t>
  </si>
  <si>
    <t>Debt: Medium to Long Duration</t>
  </si>
  <si>
    <t>Moderate</t>
  </si>
  <si>
    <t>JM Medium to Long Duration Fund</t>
  </si>
  <si>
    <t>LIC MF Medium to Long Duration Fund</t>
  </si>
  <si>
    <t>DSP Bond Fund - Retail Plan</t>
  </si>
  <si>
    <t>Debt: Medium Duration</t>
  </si>
  <si>
    <t>Axis Short Duration Fund - Regular Plan</t>
  </si>
  <si>
    <t>Debt: Short Duration</t>
  </si>
  <si>
    <t>Bandhan Short Duration Fund - Regular Plan</t>
  </si>
  <si>
    <t>Edelweiss CRISIL IBX 50:50 Gilt Plus SDL Short Duration Index Fund - Regular Plan</t>
  </si>
  <si>
    <t>Low to Moderate</t>
  </si>
  <si>
    <t>HDFC Short Term Debt Fund</t>
  </si>
  <si>
    <t>HSBC Short Duration Fund - Regular Plan</t>
  </si>
  <si>
    <t>ICICI Prudential Short Term Fund</t>
  </si>
  <si>
    <t>Nippon India Short Duration Fund</t>
  </si>
  <si>
    <t>SBI Short Term Debt Fund</t>
  </si>
  <si>
    <t>Sundaram Short Duration Fund</t>
  </si>
  <si>
    <t>Axis Treasury Advantage Fund - Regular Plan</t>
  </si>
  <si>
    <t>Debt: Low Duration</t>
  </si>
  <si>
    <t>Bandhan Low Duration Fund - Regular Plan</t>
  </si>
  <si>
    <t>Canara Robeco Savings Fund - Regular Plan</t>
  </si>
  <si>
    <t>ICICI Prudential Savings Fund</t>
  </si>
  <si>
    <t>Invesco India Low Duration Fund</t>
  </si>
  <si>
    <t>Tata Treasury Advantage Fund - Regular Plan</t>
  </si>
  <si>
    <t>UTI Low Duration Fund - Regular Plan</t>
  </si>
  <si>
    <t>Aditya Birla Sun Life Savings Fund - Regular Plan</t>
  </si>
  <si>
    <t>Debt: Ultra Short Duration</t>
  </si>
  <si>
    <t>Bandhan Ultra Short Duration Fund - Regular Plan</t>
  </si>
  <si>
    <t>Baroda BNP Paribas Ultra Short Duration Fund - Regular Plan</t>
  </si>
  <si>
    <t>HSBC Ultra Short Duration Fund - Regular Plan</t>
  </si>
  <si>
    <t>ICICI Prudential Ultra Short Term Fund</t>
  </si>
  <si>
    <t>Invesco India Ultra Short Duration Fund - Regular Plan</t>
  </si>
  <si>
    <t>Mirae Asset Ultra Short Duration Fund - Regular Plan</t>
  </si>
  <si>
    <t>SBI Ultra Short Duration Fund - Regular Plan</t>
  </si>
  <si>
    <t>Aditya Birla Sun Life Liquid Fund - Regular Plan</t>
  </si>
  <si>
    <t>Debt: Liquid</t>
  </si>
  <si>
    <t>Axis Liquid Fund</t>
  </si>
  <si>
    <t>Bank of India Liquid Fund - Regular Plan</t>
  </si>
  <si>
    <t>DSP Liquidity Fund - Regular Plan</t>
  </si>
  <si>
    <t>Edelweiss Liquid Fund - Regular Plan</t>
  </si>
  <si>
    <t>Franklin India Liquid Fund - Super Institutional Plan</t>
  </si>
  <si>
    <t>Groww Liquid Fund - Regular Plan</t>
  </si>
  <si>
    <t>Invesco India Liquid Fund</t>
  </si>
  <si>
    <t>Mahindra Manulife Liquid Fund - Regular Plan</t>
  </si>
  <si>
    <t>Mirae Asset Liquid Fund</t>
  </si>
  <si>
    <t>PGIM India Liquid Fund</t>
  </si>
  <si>
    <t>Tata Liquid Fund - Regular Plan</t>
  </si>
  <si>
    <t>Union Liquid Fund</t>
  </si>
  <si>
    <t>Aditya Birla Sun Life Money Manager Fund - Regular Plan</t>
  </si>
  <si>
    <t>Debt: Money Market</t>
  </si>
  <si>
    <t>Axis Money Market Fund - Regular Plan</t>
  </si>
  <si>
    <t>Bandhan Money Market Fund - Regular Plan</t>
  </si>
  <si>
    <t>HDFC Money Market Fund - Regular Plan</t>
  </si>
  <si>
    <t>ICICI Prudential Money Market Fund</t>
  </si>
  <si>
    <t>Kotak Money Market Fund - Regular Plan</t>
  </si>
  <si>
    <t>Tata Money Market Fund - Regular Plan</t>
  </si>
  <si>
    <t>UTI Money Market Fund - Regular Plan</t>
  </si>
  <si>
    <t>Axis Overnight Fund - Regular Plan</t>
  </si>
  <si>
    <t>Debt: Overnight</t>
  </si>
  <si>
    <t>Low</t>
  </si>
  <si>
    <t>Bajaj Finserv Overnight Fund - Regular Plan</t>
  </si>
  <si>
    <t>Bank of India Overnight Fund - Regular Plan</t>
  </si>
  <si>
    <t>Baroda BNP Paribas Overnight Fund - Regular Plan</t>
  </si>
  <si>
    <t>Franklin India Overnight Fund - Regular Plan</t>
  </si>
  <si>
    <t>ICICI Prudential Overnight Fund</t>
  </si>
  <si>
    <t>Invesco India Overnight Fund - Regular Plan</t>
  </si>
  <si>
    <t>Kotak Overnight Fund - Regular Plan</t>
  </si>
  <si>
    <t>Mirae Asset Overnight Fund - Regular Plan</t>
  </si>
  <si>
    <t>PGIM India Overnight Fund - Regular Plan</t>
  </si>
  <si>
    <t>UTI Overnight Fund - Regular Plan</t>
  </si>
  <si>
    <t>360 ONE Dynamic Bond Fund - Regular Plan</t>
  </si>
  <si>
    <t>Debt: Dynamic Bond</t>
  </si>
  <si>
    <t>Moderately High</t>
  </si>
  <si>
    <t>Axis Dynamic Bond Fund - Regular plan</t>
  </si>
  <si>
    <t>JM Dynamic Bond Fund</t>
  </si>
  <si>
    <t>Mirae Asset Dynamic Bond Fund - Regular Plan</t>
  </si>
  <si>
    <t>Nippon India Dynamic Bond Fund</t>
  </si>
  <si>
    <t>Axis Corporate Bond Fund - Regular Plan</t>
  </si>
  <si>
    <t>Debt: Corporate Bond</t>
  </si>
  <si>
    <t>Bandhan Corporate Bond Fund - Regular Plan</t>
  </si>
  <si>
    <t>Baroda BNP Paribas Corporate Bond Fund</t>
  </si>
  <si>
    <t>DSP Corporate Bond Fund - Regular Plan</t>
  </si>
  <si>
    <t>Franklin India Corporate Debt Fund - Regular Plan</t>
  </si>
  <si>
    <t>ICICI Prudential Corporate Bond Fund</t>
  </si>
  <si>
    <t>Kotak Corporate Bond Fund - Standard Plan</t>
  </si>
  <si>
    <t>Nippon India Corporate Bond Fund</t>
  </si>
  <si>
    <t>Baroda BNP Paribas Credit Risk Fund - Regular Plan</t>
  </si>
  <si>
    <t>Debt: Credit Risk</t>
  </si>
  <si>
    <t>ICICI Prudential Credit Risk Fund</t>
  </si>
  <si>
    <t>Invesco India Credit Risk Fund - Regular Plan</t>
  </si>
  <si>
    <t>Nippon India Credit Risk Fund</t>
  </si>
  <si>
    <t>Axis Banking &amp; PSU Debt Fund</t>
  </si>
  <si>
    <t>Debt: Banking and PSU</t>
  </si>
  <si>
    <t>Bandhan Banking and PSU Fund - Regular Plan</t>
  </si>
  <si>
    <t>Franklin India Banking &amp; PSU Debt Fund - Regular Plan</t>
  </si>
  <si>
    <t>ICICI Prudential Banking &amp; PSU Debt Fund</t>
  </si>
  <si>
    <t>Sundaram Banking &amp; PSU Fund - Regular Plan</t>
  </si>
  <si>
    <t>UTI Banking &amp; PSU Fund - Regular Plan</t>
  </si>
  <si>
    <t>Aditya Birla Sun Life Floating Rate Fund - Regular Plan</t>
  </si>
  <si>
    <t>Debt: Floater</t>
  </si>
  <si>
    <t>HDFC Floating Rate Debt Fund - Regular Plan</t>
  </si>
  <si>
    <t>Kotak Floating Rate Fund - Regular Plan</t>
  </si>
  <si>
    <t>Axis Gilt Fund</t>
  </si>
  <si>
    <t>Debt: Gilt</t>
  </si>
  <si>
    <t>Baroda BNP Paribas Gilt Fund - Regular Plan</t>
  </si>
  <si>
    <t>Franklin India Government Securities Fund - Regular Plan</t>
  </si>
  <si>
    <t>HDFC Gilt Fund - Regular Plan</t>
  </si>
  <si>
    <t>ICICI Prudential Gilt Fund</t>
  </si>
  <si>
    <t>Motilal Oswal 5 Year G-Sec FoF - Regular Plan</t>
  </si>
  <si>
    <t>SBI Gilt Fund - Regular Plan</t>
  </si>
  <si>
    <t>UTI Gilt Fund - Regular Plan</t>
  </si>
  <si>
    <t>Bandhan Aggressive Hybrid Fund - Regular Plan</t>
  </si>
  <si>
    <t>Hybrid: Aggressive Hybrid</t>
  </si>
  <si>
    <t>Bank of India Mid &amp; Small Cap Equity &amp; Debt Fund - Regular Plan</t>
  </si>
  <si>
    <t>Edelweiss Aggressive Hybrid Fund - Regular Plan</t>
  </si>
  <si>
    <t>HDFC Children's Fund - Regular Plan</t>
  </si>
  <si>
    <t>HDFC Retirement Savings Fund - Hybrid Equity Plan - Regular Plan</t>
  </si>
  <si>
    <t>ICICI Prudential Children's Fund</t>
  </si>
  <si>
    <t>ICICI Prudential Equity &amp; Debt Fund</t>
  </si>
  <si>
    <t>ICICI Prudential Retirement Fund - Hybrid Aggressive Plan</t>
  </si>
  <si>
    <t>JM Aggressive Hybrid Fund</t>
  </si>
  <si>
    <t>Kotak Aggressive Hybrid Fund - Regular Plan</t>
  </si>
  <si>
    <t>Mahindra Manulife Aggressive Hybrid Fund - Regular Plan</t>
  </si>
  <si>
    <t>Nippon India Aggressive Hybrid Fund</t>
  </si>
  <si>
    <t>SBI Children's Fund - Investment Plan - Regular Plan</t>
  </si>
  <si>
    <t>SBI Equity Hybrid Fund</t>
  </si>
  <si>
    <t>UTI Aggressive Hybrid Fund - Regular Plan</t>
  </si>
  <si>
    <t>Aditya Birla Sun Life Regular Savings Fund - Regular Plan</t>
  </si>
  <si>
    <t>Hybrid: Conservative Hybrid</t>
  </si>
  <si>
    <t>Bank of India Conservative Hybrid Fund - Regular Plan</t>
  </si>
  <si>
    <t>DSP Regular Savings Fund - Regular Plan</t>
  </si>
  <si>
    <t>HDFC Hybrid Debt Fund - Regular Plan</t>
  </si>
  <si>
    <t>ICICI Prudential Regular Savings Fund</t>
  </si>
  <si>
    <t>ICICI Prudential Retirement Fund - Hybrid Conservative Plan</t>
  </si>
  <si>
    <t>Nippon India Conservative Hybrid Fund</t>
  </si>
  <si>
    <t>Parag Parikh Conservative Hybrid Fund - Regular Plan</t>
  </si>
  <si>
    <t>SBI Children's Fund - Savings Plan - Regular Plan</t>
  </si>
  <si>
    <t>SBI Conservative Hybrid Fund</t>
  </si>
  <si>
    <t>DSP Equity Savings Fund - Regular Plan</t>
  </si>
  <si>
    <t>Hybrid: Equity Savings</t>
  </si>
  <si>
    <t>Edelweiss Equity Savings Fund - Regular Plan</t>
  </si>
  <si>
    <t>HSBC Equity Savings Fund</t>
  </si>
  <si>
    <t>ICICI Prudential Equity Savings Fund</t>
  </si>
  <si>
    <t>Kotak Equity Savings Fund - Regular Plan</t>
  </si>
  <si>
    <t>UTI Equity Savings Fund - Regular Plan</t>
  </si>
  <si>
    <t>Aditya Birla Sun Life Arbitrage Fund - Regular Plan</t>
  </si>
  <si>
    <t>Hybrid: Arbitrage</t>
  </si>
  <si>
    <t>Axis Arbitrage Fund - Regular Plan</t>
  </si>
  <si>
    <t>HDFC Arbitrage Fund - Wholesale - Regular Plan</t>
  </si>
  <si>
    <t>ICICI Prudential Equity Arbitrage Fund</t>
  </si>
  <si>
    <t>Invesco India Arbitrage Fund - Regular Plan</t>
  </si>
  <si>
    <t>Kotak Arbitrage Fund - Regular Plan</t>
  </si>
  <si>
    <t>SBI Arbitrage Opportunities Fund</t>
  </si>
  <si>
    <t>Tata Arbitrage Fund - Regular Plan</t>
  </si>
  <si>
    <t>UTI Arbitrage Fund - Regular Plan</t>
  </si>
  <si>
    <t>Aditya Birla Sun Life Balanced Advantage Fund - Regular Plan</t>
  </si>
  <si>
    <t>Hybrid: Dynamic Asset Allocation</t>
  </si>
  <si>
    <t>Axis Balanced Advantage Fund - Regular Plan</t>
  </si>
  <si>
    <t>DSP Dynamic Asset Allocation Fund - Regular Plan</t>
  </si>
  <si>
    <t>Franklin India Balanced Advantage Fund - Regular Plan</t>
  </si>
  <si>
    <t>Franklin India Dynamic Asset Allocation Active FoF - Regular Plan</t>
  </si>
  <si>
    <t>HDFC Balanced Advantage Fund - Regular Plan</t>
  </si>
  <si>
    <t>ICICI Prudential Balanced Advantage Fund</t>
  </si>
  <si>
    <t>Mirae Asset Balanced Advantage Fund - Regular Plan</t>
  </si>
  <si>
    <t>Nippon India Balanced Advantage Fund</t>
  </si>
  <si>
    <t>Quant Dynamic Asset Allocation Fund - Regular Plan</t>
  </si>
  <si>
    <t>SBI Balanced Advantage Fund - Regular Plan</t>
  </si>
  <si>
    <t>HDFC Multi-Asset Active FoF - Regular Plan</t>
  </si>
  <si>
    <t>Hybrid: Multi Asset Allocation</t>
  </si>
  <si>
    <t>ICICI Prudential Multi Asset Fund</t>
  </si>
  <si>
    <t>Nippon India Multi Asset Allocation Fund - Regular Plan</t>
  </si>
  <si>
    <t>Nippon India Multi - Asset Omni FoF - Regular Plan</t>
  </si>
  <si>
    <t>Quant Multi Asset Allocation Fund - Regular Plan</t>
  </si>
  <si>
    <t>SBI Multi Asset Allocation Fund</t>
  </si>
  <si>
    <t>Axis Gold Fund - Regular Plan</t>
  </si>
  <si>
    <t>Commodities: Gold</t>
  </si>
  <si>
    <t>Quantum Gold Savings Fund - Regular Plan</t>
  </si>
  <si>
    <t>SBI Gold Fund</t>
  </si>
  <si>
    <t>Tata Gold ETF FoF - Regular Plan</t>
  </si>
  <si>
    <t>UTI Gold ETF FoF - Regular Plan</t>
  </si>
  <si>
    <t>Regular</t>
  </si>
  <si>
    <t>Select your options</t>
  </si>
  <si>
    <t>Medium</t>
  </si>
  <si>
    <t xml:space="preserve">Investor Type </t>
  </si>
  <si>
    <t>Return Priority</t>
  </si>
  <si>
    <t>Cost Sensitivity</t>
  </si>
  <si>
    <t>Investor Type</t>
  </si>
  <si>
    <t>Value</t>
  </si>
  <si>
    <t>Conservative</t>
  </si>
  <si>
    <t>Aggressive</t>
  </si>
  <si>
    <t>5 Year SIP Returns (%)</t>
  </si>
  <si>
    <t>ReturnScore</t>
  </si>
  <si>
    <t>SIPScore</t>
  </si>
  <si>
    <t>CostScore</t>
  </si>
  <si>
    <t>MFScore</t>
  </si>
  <si>
    <t>Rank</t>
  </si>
  <si>
    <t>Cost</t>
  </si>
  <si>
    <t>Select Investor Type:</t>
  </si>
  <si>
    <t>Select Retrun Priority</t>
  </si>
  <si>
    <t>Select Cost Sensitivity:</t>
  </si>
  <si>
    <t>Value Mapping as per Investor</t>
  </si>
  <si>
    <t>Total Value</t>
  </si>
  <si>
    <t>Normalized Value</t>
  </si>
  <si>
    <t>Investor Profiling and Fund Recommendation as per User Requirements</t>
  </si>
  <si>
    <t>Row Labels</t>
  </si>
  <si>
    <t>Grand Total</t>
  </si>
  <si>
    <t>Average of Rank</t>
  </si>
  <si>
    <t>User Inputs</t>
  </si>
  <si>
    <t>Calculations</t>
  </si>
  <si>
    <t>See next page for mutual fund recommendations based on user inputs (See the fina column Ranks)</t>
  </si>
  <si>
    <t>See last page for top 10 funds based on user inputs (Visual Analysis)</t>
  </si>
  <si>
    <t>Recommendations</t>
  </si>
  <si>
    <t>Top 10 Performance Funds Based on User Inputs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</si>
</sst>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;\-#,##0.00;\-\-"/>
  </numFmts>
  <fonts count="10" x14ac:knownFonts="1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</font>
    <font>
      <sz val="11"/>
      <color rgb="FF000000"/>
      <name val="Calibri"/>
    </font>
    <font>
      <b/>
      <u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indexed="8"/>
      <name val="Calibri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Fill="0" applyProtection="0"/>
  </cellStyleXfs>
  <cellXfs count="41">
    <xf numFmtId="0" fontId="0" fillId="0" borderId="0" xfId="0"/>
    <xf numFmtId="0" fontId="1" fillId="2" borderId="1" xfId="0" applyFont="1" applyFill="1" applyBorder="1" applyProtection="1"/>
    <xf numFmtId="0" fontId="2" fillId="0" borderId="1" xfId="0" applyFont="1" applyFill="1" applyBorder="1" applyProtection="1"/>
    <xf numFmtId="164" fontId="2" fillId="0" borderId="1" xfId="0" applyNumberFormat="1" applyFont="1" applyFill="1" applyBorder="1" applyProtection="1"/>
    <xf numFmtId="0" fontId="2" fillId="0" borderId="2" xfId="0" applyFont="1" applyFill="1" applyBorder="1" applyProtection="1"/>
    <xf numFmtId="0" fontId="2" fillId="0" borderId="3" xfId="0" applyFont="1" applyFill="1" applyBorder="1" applyProtection="1"/>
    <xf numFmtId="0" fontId="2" fillId="0" borderId="0" xfId="0" applyFont="1" applyFill="1" applyBorder="1" applyProtection="1"/>
    <xf numFmtId="0" fontId="2" fillId="3" borderId="0" xfId="0" applyFont="1" applyFill="1" applyBorder="1" applyProtection="1"/>
    <xf numFmtId="0" fontId="4" fillId="3" borderId="0" xfId="0" applyFont="1" applyFill="1" applyBorder="1" applyProtection="1"/>
    <xf numFmtId="0" fontId="4" fillId="0" borderId="0" xfId="0" applyFont="1" applyFill="1" applyBorder="1" applyProtection="1"/>
    <xf numFmtId="0" fontId="5" fillId="0" borderId="3" xfId="0" applyFont="1" applyFill="1" applyBorder="1" applyAlignment="1" applyProtection="1">
      <alignment horizontal="center"/>
    </xf>
    <xf numFmtId="0" fontId="4" fillId="0" borderId="3" xfId="0" applyFont="1" applyFill="1" applyBorder="1" applyAlignment="1" applyProtection="1">
      <alignment horizontal="center"/>
    </xf>
    <xf numFmtId="0" fontId="2" fillId="0" borderId="3" xfId="0" applyFont="1" applyFill="1" applyBorder="1" applyAlignment="1" applyProtection="1">
      <alignment horizontal="center"/>
    </xf>
    <xf numFmtId="0" fontId="2" fillId="5" borderId="0" xfId="0" applyFont="1" applyFill="1" applyBorder="1" applyProtection="1"/>
    <xf numFmtId="0" fontId="0" fillId="5" borderId="0" xfId="0" applyFill="1"/>
    <xf numFmtId="0" fontId="0" fillId="4" borderId="0" xfId="0" applyFill="1"/>
    <xf numFmtId="0" fontId="1" fillId="2" borderId="2" xfId="0" applyFont="1" applyFill="1" applyBorder="1" applyProtection="1"/>
    <xf numFmtId="0" fontId="2" fillId="0" borderId="4" xfId="0" applyFont="1" applyFill="1" applyBorder="1" applyProtection="1"/>
    <xf numFmtId="0" fontId="2" fillId="0" borderId="5" xfId="0" applyFont="1" applyFill="1" applyBorder="1" applyProtection="1"/>
    <xf numFmtId="0" fontId="1" fillId="2" borderId="3" xfId="0" applyFont="1" applyFill="1" applyBorder="1" applyProtection="1"/>
    <xf numFmtId="0" fontId="6" fillId="0" borderId="6" xfId="1" applyFill="1" applyBorder="1" applyProtection="1"/>
    <xf numFmtId="164" fontId="6" fillId="0" borderId="6" xfId="1" applyNumberFormat="1" applyFill="1" applyBorder="1" applyProtection="1"/>
    <xf numFmtId="2" fontId="1" fillId="2" borderId="3" xfId="0" applyNumberFormat="1" applyFont="1" applyFill="1" applyBorder="1" applyProtection="1"/>
    <xf numFmtId="2" fontId="2" fillId="0" borderId="3" xfId="0" applyNumberFormat="1" applyFont="1" applyFill="1" applyBorder="1" applyProtection="1"/>
    <xf numFmtId="2" fontId="0" fillId="0" borderId="0" xfId="0" applyNumberFormat="1"/>
    <xf numFmtId="0" fontId="7" fillId="0" borderId="0" xfId="0" applyFont="1"/>
    <xf numFmtId="1" fontId="1" fillId="2" borderId="3" xfId="0" applyNumberFormat="1" applyFont="1" applyFill="1" applyBorder="1" applyProtection="1"/>
    <xf numFmtId="1" fontId="2" fillId="0" borderId="3" xfId="0" applyNumberFormat="1" applyFont="1" applyFill="1" applyBorder="1" applyProtection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Fill="1"/>
    <xf numFmtId="0" fontId="8" fillId="0" borderId="0" xfId="0" applyFont="1" applyFill="1" applyAlignment="1">
      <alignment horizontal="center"/>
    </xf>
    <xf numFmtId="0" fontId="3" fillId="0" borderId="0" xfId="0" applyFont="1" applyFill="1" applyBorder="1" applyProtection="1"/>
    <xf numFmtId="0" fontId="0" fillId="0" borderId="0" xfId="0" applyBorder="1"/>
    <xf numFmtId="0" fontId="2" fillId="6" borderId="0" xfId="0" applyFont="1" applyFill="1" applyBorder="1" applyProtection="1"/>
    <xf numFmtId="0" fontId="0" fillId="6" borderId="0" xfId="0" applyFill="1" applyBorder="1"/>
    <xf numFmtId="0" fontId="0" fillId="6" borderId="7" xfId="0" applyFill="1" applyBorder="1"/>
    <xf numFmtId="0" fontId="9" fillId="0" borderId="0" xfId="0" applyFont="1"/>
    <xf numFmtId="0" fontId="5" fillId="2" borderId="3" xfId="0" applyFont="1" applyFill="1" applyBorder="1" applyAlignment="1" applyProtection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[InvestorProfiling_MutualFundRecommendation.xlsx]VisualAnalysis!PivotTable5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Fund Performance (Ranks Based on User Perference Model)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3100913385826771"/>
          <c:y val="0.20820862304492641"/>
          <c:w val="0.86269910761154855"/>
          <c:h val="0.4011167902257831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VisualAnalysis!$B$1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VisualAnalysis!$A$2:$A$12</c:f>
              <c:strCache>
                <c:ptCount val="10"/>
                <c:pt idx="0">
                  <c:v>Bajaj Finserv Overnight Fund - Regular Plan</c:v>
                </c:pt>
                <c:pt idx="1">
                  <c:v>Canara Robeco Focused Fund - Regular Plan</c:v>
                </c:pt>
                <c:pt idx="2">
                  <c:v>Edelweiss CRISIL IBX 50:50 Gilt Plus SDL Short Duration Index Fund - Regular Plan</c:v>
                </c:pt>
                <c:pt idx="3">
                  <c:v>Franklin India Balanced Advantage Fund - Regular Plan</c:v>
                </c:pt>
                <c:pt idx="4">
                  <c:v>Mirae Asset Balanced Advantage Fund - Regular Plan</c:v>
                </c:pt>
                <c:pt idx="5">
                  <c:v>Motilal Oswal 5 Year G-Sec FoF - Regular Plan</c:v>
                </c:pt>
                <c:pt idx="6">
                  <c:v>Parag Parikh Conservative Hybrid Fund - Regular Plan</c:v>
                </c:pt>
                <c:pt idx="7">
                  <c:v>SBI Balanced Advantage Fund - Regular Plan</c:v>
                </c:pt>
                <c:pt idx="8">
                  <c:v>Tata Gold ETF FoF - Regular Plan</c:v>
                </c:pt>
                <c:pt idx="9">
                  <c:v>WhiteOak Capital Large Cap Fund - Regular Plan</c:v>
                </c:pt>
              </c:strCache>
            </c:strRef>
          </c:cat>
          <c:val>
            <c:numRef>
              <c:f>VisualAnalysis!$B$2:$B$12</c:f>
              <c:numCache>
                <c:formatCode>General</c:formatCode>
                <c:ptCount val="10"/>
                <c:pt idx="0">
                  <c:v>585</c:v>
                </c:pt>
                <c:pt idx="1">
                  <c:v>568</c:v>
                </c:pt>
                <c:pt idx="2">
                  <c:v>579</c:v>
                </c:pt>
                <c:pt idx="3">
                  <c:v>577</c:v>
                </c:pt>
                <c:pt idx="4">
                  <c:v>572</c:v>
                </c:pt>
                <c:pt idx="5">
                  <c:v>581</c:v>
                </c:pt>
                <c:pt idx="6">
                  <c:v>575</c:v>
                </c:pt>
                <c:pt idx="7">
                  <c:v>570</c:v>
                </c:pt>
                <c:pt idx="8">
                  <c:v>583</c:v>
                </c:pt>
                <c:pt idx="9">
                  <c:v>566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-126859712"/>
        <c:axId val="-126870592"/>
      </c:barChart>
      <c:catAx>
        <c:axId val="-126859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6870592"/>
        <c:crosses val="autoZero"/>
        <c:auto val="1"/>
        <c:lblAlgn val="ctr"/>
        <c:lblOffset val="100"/>
        <c:noMultiLvlLbl val="0"/>
      </c:catAx>
      <c:valAx>
        <c:axId val="-126870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6859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695325</xdr:colOff>
      <xdr:row>2</xdr:row>
      <xdr:rowOff>85725</xdr:rowOff>
    </xdr:from>
    <xdr:to>
      <xdr:col>18</xdr:col>
      <xdr:colOff>190500</xdr:colOff>
      <xdr:row>19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pt1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6146.854891550924" createdVersion="5" refreshedVersion="5" minRefreshableVersion="3" recordCount="586">
  <cacheSource type="worksheet">
    <worksheetSource ref="C6:U592" sheet="mf_charts" r:id="rId2"/>
  </cacheSource>
  <cacheFields count="19">
    <cacheField name="Fund Name" numFmtId="0">
      <sharedItems count="293">
        <s v="Aditya Birla Sun Life Large Cap Fund - Regular Plan"/>
        <s v="Aditya Birla Sun Life Nifty 50 Equal Weight Index Fund - Regular Plan"/>
        <s v="Aditya Birla Sun Life Nifty Next 50 Index Fund - Regular Plan"/>
        <s v="Bandhan Large Cap Fund - Regular Plan"/>
        <s v="Baroda BNP Paribas Large Cap Fund - Regular Plan"/>
        <s v="Canara Robeco Large Cap Fund - Regular Plan"/>
        <s v="DSP Large Cap Fund - Regular Plan"/>
        <s v="DSP Nifty 50 Equal Weight Index Fund - Regular Plan"/>
        <s v="DSP Nifty Next 50 Index Fund - Regular Plan"/>
        <s v="Edelweiss Large Cap Fund - Regular Plan"/>
        <s v="HDFC Large Cap Fund - Regular Plan"/>
        <s v="HDFC NIFTY 100 Equal Weight Index Fund - Regular Plan"/>
        <s v="HDFC NIFTY50 Equal Weight Index Fund - Regular Plan"/>
        <s v="ICICI Prudential BHARAT 22 FOF"/>
        <s v="ICICI Prudential Large Cap Fund"/>
        <s v="ICICI Prudential Nifty 100 Low Volatility 30 ETF FOF"/>
        <s v="ICICI Prudential Nifty50 Equal Weight Index Fund"/>
        <s v="Invesco India Largecap Fund - Regular Plan"/>
        <s v="Kotak Large Cap Fund - Regular Plan"/>
        <s v="Kotak Nifty Next 50 Index Fund - Regular Plan"/>
        <s v="Mirae Asset Diversified Equity Allocator Passive FoF - Regular Plan"/>
        <s v="Navi Nifty Next 50 Index Fund - Regular Plan"/>
        <s v="Nippon India Large Cap Fund"/>
        <s v="Nippon India Nifty Next 50 Junior BeES FoF - Regular Plan"/>
        <s v="SBI Large Cap Fund"/>
        <s v="SBI Nifty Next 50 Index Fund - Regular Plan"/>
        <s v="Sundaram Nifty 100 Equal Weight Fund"/>
        <s v="Tata Large Cap Fund - Regular Plan"/>
        <s v="WhiteOak Capital Large Cap Fund - Regular Plan"/>
        <s v="Bandhan Large &amp; Mid Cap Fund - Regular Plan"/>
        <s v="DSP Large &amp; Mid Cap Fund - Regular Plan"/>
        <s v="HDFC Large and Mid Cap Fund - Regular Plan"/>
        <s v="ICICI Prudential Large &amp; Mid Cap Fund"/>
        <s v="Invesco India Large &amp; Mid Cap Fund - Regular Plan"/>
        <s v="Motilal Oswal Large and Midcap Fund - Regular Plan"/>
        <s v="Nippon India Vision Large &amp; Mid Cap Fund"/>
        <s v="SBI Large &amp; Midcap Fund"/>
        <s v="UTI Large &amp; Mid Cap Fund - Regular Plan"/>
        <s v="Aditya Birla Sun Life Flexi Cap Fund - Regular Plan"/>
        <s v="Bank of India Flexi Cap Fund - Regular Plan"/>
        <s v="Canara Robeco Focused Fund - Regular Plan"/>
        <s v="Edelweiss Flexi Cap Fund - Regular Plan"/>
        <s v="Edelweiss Focused Fund - Regular Plan"/>
        <s v="Franklin India Flexi Cap Fund - Regular Plan"/>
        <s v="Franklin India Focused Equity Fund - Regular Plan"/>
        <s v="HDFC Flexi Cap Fund - Regular Plan"/>
        <s v="HDFC Focused Fund - Regular Plan"/>
        <s v="HDFC Retirement Savings Fund - Equity Plan - Regular Plan"/>
        <s v="HSBC Flexi Cap Fund"/>
        <s v="ICICI Prudential Diversified Equity All Cap Omni FoF"/>
        <s v="ICICI Prudential Flexicap Fund"/>
        <s v="ICICI Prudential Focused Equity Fund"/>
        <s v="ICICI Prudential Retirement Fund - Pure Equity Plan"/>
        <s v="Invesco India Flexi Cap Fund - Regular Plan"/>
        <s v="Invesco India Focused Fund - Regular Plan"/>
        <s v="ITI Flexi Cap Fund - Regular Plan"/>
        <s v="JM Flexicap Fund"/>
        <s v="Kotak Focused Fund - Regular Plan"/>
        <s v="Mahindra Manulife Focused Fund - Regular Plan"/>
        <s v="Nippon India Retirement Fund - Wealth Creation Scheme"/>
        <s v="Parag Parikh Flexi Cap Fund - Regular Plan"/>
        <s v="SBI Focused Fund"/>
        <s v="Union Retirement Fund - Regular Plan"/>
        <s v="WhiteOak Capital Flexi Cap Fund - Regular Plan"/>
        <s v="Axis Multicap Fund - Regular Plan"/>
        <s v="Bank of India Multi Cap Fund - Regular Plan"/>
        <s v="HSBC Multi Cap Fund - Regular Plan"/>
        <s v="ICICI Prudential Multicap Fund"/>
        <s v="Kotak Multicap Fund - Regular Plan"/>
        <s v="Mahindra Manulife Multi Cap Fund - Regular Plan"/>
        <s v="Nippon India Multi Cap Fund"/>
        <s v="Edelweiss Mid Cap Fund - Regular Plan"/>
        <s v="HDFC Mid Cap Fund - Regular Plan"/>
        <s v="ICICI Prudential Midcap Fund"/>
        <s v="Invesco India Mid Cap Fund - Regular Plan"/>
        <s v="ITI Mid Cap Fund - Regular Plan"/>
        <s v="JM Midcap Fund - Regular Plan"/>
        <s v="Kotak Midcap Fund - Regular Plan"/>
        <s v="Mahindra Manulife Mid Cap Fund - Regular Plan"/>
        <s v="Motilal Oswal Midcap Fund - Regular Plan"/>
        <s v="Nippon India Growth Mid Cap Fund"/>
        <s v="Sundaram Mid Cap Fund - Regular Plan"/>
        <s v="WhiteOak Capital Mid Cap Fund - Regular Plan"/>
        <s v="Axis Nifty Smallcap 50 Index Fund - Regular Plan"/>
        <s v="Axis Small Cap Fund - Regular Plan"/>
        <s v="Bandhan Small Cap Fund - Regular Plan"/>
        <s v="Edelweiss Small Cap Fund - Regular Plan"/>
        <s v="HDFC Small Cap Fund - Regular Plan"/>
        <s v="Invesco India Smallcap Fund - Regular Plan"/>
        <s v="ITI Small Cap Fund - Regular Plan"/>
        <s v="Kotak Nifty Smallcap 50 Index Fund - Regular Plan"/>
        <s v="Mahindra Manulife Small Cap Fund - Regular Plan"/>
        <s v="Nippon India Small Cap Fund"/>
        <s v="Quant Small Cap Fund"/>
        <s v="Sundaram Small Cap Fund - Regular Plan"/>
        <s v="Axis Value Fund - Regular Plan"/>
        <s v="Bandhan Value Fund - Regular Plan"/>
        <s v="DSP Value Fund - Regular Plan"/>
        <s v="HSBC Value Fund"/>
        <s v="ICICI Prudential Value Fund"/>
        <s v="Kotak Contra Fund - Regular Plan"/>
        <s v="Motilal Oswal BSE Enhanced Value Index Fund - Regular Plan"/>
        <s v="Nippon India Value Fund"/>
        <s v="SBI Contra Fund"/>
        <s v="Bandhan ELSS Tax Saver Fund - Regular Plan"/>
        <s v="Baroda BNP Paribas ELSS Tax Saver Fund - Regular Plan"/>
        <s v="DSP ELSS Tax Saver Fund - Regular Plan"/>
        <s v="Franklin India ELSS Tax Saver Fund - Regular Plan"/>
        <s v="HDFC ELSS Tax Saver Fund - Regular Plan"/>
        <s v="HSBC ELSS Tax Saver Fund"/>
        <s v="JM ELSS Tax Saver Fund"/>
        <s v="Motilal Oswal ELSS Tax Saver Fund - Regular Plan"/>
        <s v="Nippon India ELSS Tax Saver Fund"/>
        <s v="Parag Parikh ELSS Tax Saver Fund - Regular Plan"/>
        <s v="Quantum ELSS Tax Saver Fund - Regular Plan"/>
        <s v="SBI ELSS Tax Saver Fund - Regular Plan"/>
        <s v="WhiteOak Capital ELSS Tax Saver Fund - Regular Plan"/>
        <s v="Invesco India Financial Services Fund - Regular Plan"/>
        <s v="Motilal Oswal BSE Financials ex Bank 30 Index Fund - Regular Plan"/>
        <s v="Nippon India Banking &amp; Financial Services Fund"/>
        <s v="SBI Banking &amp; Financial Services Fund - Regular Plan"/>
        <s v="Sundaram Financial Services Opportunities Fund - Regular Plan"/>
        <s v="ICICI Prudential Pharma Healthcare and Diagnostics (P.H.D) Fund"/>
        <s v="SBI Healthcare Opportunities Fund"/>
        <s v="UTI Healthcare Fund - Regular Plan"/>
        <s v="Baroda BNP Paribas India Consumption Fund - Regular Plan"/>
        <s v="ICICI Prudential Bharat Consumption Fund"/>
        <s v="Mirae Asset Great Consumer Fund - Regular Plan"/>
        <s v="Nippon India Consumption Fund"/>
        <s v="Tata India Consumer Fund - Regular Plan"/>
        <s v="Bank of India Manufacturing &amp; Infrastructure Fund - Regular Plan"/>
        <s v="Canara Robeco Infrastructure Fund - Regular Plan"/>
        <s v="DSP India T.I.G.E.R. Fund - Regular Plan"/>
        <s v="Franklin Build India Fund - Regular Plan"/>
        <s v="HDFC Infrastructure Fund - Regular Plan"/>
        <s v="ICICI Prudential Infrastructure Fund"/>
        <s v="LIC MF Infrastructure Fund"/>
        <s v="ICICI Prudential Bond Fund"/>
        <s v="JM Medium to Long Duration Fund"/>
        <s v="LIC MF Medium to Long Duration Fund"/>
        <s v="DSP Bond Fund - Retail Plan"/>
        <s v="Axis Short Duration Fund - Regular Plan"/>
        <s v="Bandhan Short Duration Fund - Regular Plan"/>
        <s v="Edelweiss CRISIL IBX 50:50 Gilt Plus SDL Short Duration Index Fund - Regular Plan"/>
        <s v="HDFC Short Term Debt Fund"/>
        <s v="HSBC Short Duration Fund - Regular Plan"/>
        <s v="ICICI Prudential Short Term Fund"/>
        <s v="Nippon India Short Duration Fund"/>
        <s v="SBI Short Term Debt Fund"/>
        <s v="Sundaram Short Duration Fund"/>
        <s v="Axis Treasury Advantage Fund - Regular Plan"/>
        <s v="Bandhan Low Duration Fund - Regular Plan"/>
        <s v="Canara Robeco Savings Fund - Regular Plan"/>
        <s v="ICICI Prudential Savings Fund"/>
        <s v="Invesco India Low Duration Fund"/>
        <s v="Tata Treasury Advantage Fund - Regular Plan"/>
        <s v="UTI Low Duration Fund - Regular Plan"/>
        <s v="Aditya Birla Sun Life Savings Fund - Regular Plan"/>
        <s v="Bandhan Ultra Short Duration Fund - Regular Plan"/>
        <s v="Baroda BNP Paribas Ultra Short Duration Fund - Regular Plan"/>
        <s v="HSBC Ultra Short Duration Fund - Regular Plan"/>
        <s v="ICICI Prudential Ultra Short Term Fund"/>
        <s v="Invesco India Ultra Short Duration Fund - Regular Plan"/>
        <s v="Mirae Asset Ultra Short Duration Fund - Regular Plan"/>
        <s v="SBI Ultra Short Duration Fund - Regular Plan"/>
        <s v="Aditya Birla Sun Life Liquid Fund - Regular Plan"/>
        <s v="Axis Liquid Fund"/>
        <s v="Bank of India Liquid Fund - Regular Plan"/>
        <s v="DSP Liquidity Fund - Regular Plan"/>
        <s v="Edelweiss Liquid Fund - Regular Plan"/>
        <s v="Franklin India Liquid Fund - Super Institutional Plan"/>
        <s v="Groww Liquid Fund - Regular Plan"/>
        <s v="Invesco India Liquid Fund"/>
        <s v="Mahindra Manulife Liquid Fund - Regular Plan"/>
        <s v="Mirae Asset Liquid Fund"/>
        <s v="PGIM India Liquid Fund"/>
        <s v="Tata Liquid Fund - Regular Plan"/>
        <s v="Union Liquid Fund"/>
        <s v="Aditya Birla Sun Life Money Manager Fund - Regular Plan"/>
        <s v="Axis Money Market Fund - Regular Plan"/>
        <s v="Bandhan Money Market Fund - Regular Plan"/>
        <s v="HDFC Money Market Fund - Regular Plan"/>
        <s v="ICICI Prudential Money Market Fund"/>
        <s v="Kotak Money Market Fund - Regular Plan"/>
        <s v="Tata Money Market Fund - Regular Plan"/>
        <s v="UTI Money Market Fund - Regular Plan"/>
        <s v="Axis Overnight Fund - Regular Plan"/>
        <s v="Bajaj Finserv Overnight Fund - Regular Plan"/>
        <s v="Bank of India Overnight Fund - Regular Plan"/>
        <s v="Baroda BNP Paribas Overnight Fund - Regular Plan"/>
        <s v="Franklin India Overnight Fund - Regular Plan"/>
        <s v="ICICI Prudential Overnight Fund"/>
        <s v="Invesco India Overnight Fund - Regular Plan"/>
        <s v="Kotak Overnight Fund - Regular Plan"/>
        <s v="Mirae Asset Overnight Fund - Regular Plan"/>
        <s v="PGIM India Overnight Fund - Regular Plan"/>
        <s v="UTI Overnight Fund - Regular Plan"/>
        <s v="360 ONE Dynamic Bond Fund - Regular Plan"/>
        <s v="Axis Dynamic Bond Fund - Regular plan"/>
        <s v="JM Dynamic Bond Fund"/>
        <s v="Mirae Asset Dynamic Bond Fund - Regular Plan"/>
        <s v="Nippon India Dynamic Bond Fund"/>
        <s v="Axis Corporate Bond Fund - Regular Plan"/>
        <s v="Bandhan Corporate Bond Fund - Regular Plan"/>
        <s v="Baroda BNP Paribas Corporate Bond Fund"/>
        <s v="DSP Corporate Bond Fund - Regular Plan"/>
        <s v="Franklin India Corporate Debt Fund - Regular Plan"/>
        <s v="ICICI Prudential Corporate Bond Fund"/>
        <s v="Kotak Corporate Bond Fund - Standard Plan"/>
        <s v="Nippon India Corporate Bond Fund"/>
        <s v="Baroda BNP Paribas Credit Risk Fund - Regular Plan"/>
        <s v="ICICI Prudential Credit Risk Fund"/>
        <s v="Invesco India Credit Risk Fund - Regular Plan"/>
        <s v="Nippon India Credit Risk Fund"/>
        <s v="Axis Banking &amp; PSU Debt Fund"/>
        <s v="Bandhan Banking and PSU Fund - Regular Plan"/>
        <s v="Franklin India Banking &amp; PSU Debt Fund - Regular Plan"/>
        <s v="ICICI Prudential Banking &amp; PSU Debt Fund"/>
        <s v="Sundaram Banking &amp; PSU Fund - Regular Plan"/>
        <s v="UTI Banking &amp; PSU Fund - Regular Plan"/>
        <s v="Aditya Birla Sun Life Floating Rate Fund - Regular Plan"/>
        <s v="HDFC Floating Rate Debt Fund - Regular Plan"/>
        <s v="Kotak Floating Rate Fund - Regular Plan"/>
        <s v="Axis Gilt Fund"/>
        <s v="Baroda BNP Paribas Gilt Fund - Regular Plan"/>
        <s v="Franklin India Government Securities Fund - Regular Plan"/>
        <s v="HDFC Gilt Fund - Regular Plan"/>
        <s v="ICICI Prudential Gilt Fund"/>
        <s v="Motilal Oswal 5 Year G-Sec FoF - Regular Plan"/>
        <s v="SBI Gilt Fund - Regular Plan"/>
        <s v="UTI Gilt Fund - Regular Plan"/>
        <s v="Bandhan Aggressive Hybrid Fund - Regular Plan"/>
        <s v="Bank of India Mid &amp; Small Cap Equity &amp; Debt Fund - Regular Plan"/>
        <s v="Edelweiss Aggressive Hybrid Fund - Regular Plan"/>
        <s v="HDFC Children's Fund - Regular Plan"/>
        <s v="HDFC Retirement Savings Fund - Hybrid Equity Plan - Regular Plan"/>
        <s v="ICICI Prudential Children's Fund"/>
        <s v="ICICI Prudential Equity &amp; Debt Fund"/>
        <s v="ICICI Prudential Retirement Fund - Hybrid Aggressive Plan"/>
        <s v="JM Aggressive Hybrid Fund"/>
        <s v="Kotak Aggressive Hybrid Fund - Regular Plan"/>
        <s v="Mahindra Manulife Aggressive Hybrid Fund - Regular Plan"/>
        <s v="Nippon India Aggressive Hybrid Fund"/>
        <s v="SBI Children's Fund - Investment Plan - Regular Plan"/>
        <s v="SBI Equity Hybrid Fund"/>
        <s v="UTI Aggressive Hybrid Fund - Regular Plan"/>
        <s v="Aditya Birla Sun Life Regular Savings Fund - Regular Plan"/>
        <s v="Bank of India Conservative Hybrid Fund - Regular Plan"/>
        <s v="DSP Regular Savings Fund - Regular Plan"/>
        <s v="HDFC Hybrid Debt Fund - Regular Plan"/>
        <s v="ICICI Prudential Regular Savings Fund"/>
        <s v="ICICI Prudential Retirement Fund - Hybrid Conservative Plan"/>
        <s v="Nippon India Conservative Hybrid Fund"/>
        <s v="Parag Parikh Conservative Hybrid Fund - Regular Plan"/>
        <s v="SBI Children's Fund - Savings Plan - Regular Plan"/>
        <s v="SBI Conservative Hybrid Fund"/>
        <s v="DSP Equity Savings Fund - Regular Plan"/>
        <s v="Edelweiss Equity Savings Fund - Regular Plan"/>
        <s v="HSBC Equity Savings Fund"/>
        <s v="ICICI Prudential Equity Savings Fund"/>
        <s v="Kotak Equity Savings Fund - Regular Plan"/>
        <s v="UTI Equity Savings Fund - Regular Plan"/>
        <s v="Aditya Birla Sun Life Arbitrage Fund - Regular Plan"/>
        <s v="Axis Arbitrage Fund - Regular Plan"/>
        <s v="HDFC Arbitrage Fund - Wholesale - Regular Plan"/>
        <s v="ICICI Prudential Equity Arbitrage Fund"/>
        <s v="Invesco India Arbitrage Fund - Regular Plan"/>
        <s v="Kotak Arbitrage Fund - Regular Plan"/>
        <s v="SBI Arbitrage Opportunities Fund"/>
        <s v="Tata Arbitrage Fund - Regular Plan"/>
        <s v="UTI Arbitrage Fund - Regular Plan"/>
        <s v="Aditya Birla Sun Life Balanced Advantage Fund - Regular Plan"/>
        <s v="Axis Balanced Advantage Fund - Regular Plan"/>
        <s v="DSP Dynamic Asset Allocation Fund - Regular Plan"/>
        <s v="Franklin India Balanced Advantage Fund - Regular Plan"/>
        <s v="Franklin India Dynamic Asset Allocation Active FoF - Regular Plan"/>
        <s v="HDFC Balanced Advantage Fund - Regular Plan"/>
        <s v="ICICI Prudential Balanced Advantage Fund"/>
        <s v="Mirae Asset Balanced Advantage Fund - Regular Plan"/>
        <s v="Nippon India Balanced Advantage Fund"/>
        <s v="Quant Dynamic Asset Allocation Fund - Regular Plan"/>
        <s v="SBI Balanced Advantage Fund - Regular Plan"/>
        <s v="HDFC Multi-Asset Active FoF - Regular Plan"/>
        <s v="ICICI Prudential Multi Asset Fund"/>
        <s v="Nippon India Multi Asset Allocation Fund - Regular Plan"/>
        <s v="Nippon India Multi - Asset Omni FoF - Regular Plan"/>
        <s v="Quant Multi Asset Allocation Fund - Regular Plan"/>
        <s v="SBI Multi Asset Allocation Fund"/>
        <s v="Axis Gold Fund - Regular Plan"/>
        <s v="Quantum Gold Savings Fund - Regular Plan"/>
        <s v="SBI Gold Fund"/>
        <s v="Tata Gold ETF FoF - Regular Plan"/>
        <s v="UTI Gold ETF FoF - Regular Plan"/>
      </sharedItems>
    </cacheField>
    <cacheField name="Rating" numFmtId="0">
      <sharedItems containsSemiMixedTypes="0" containsString="0" containsNumber="1" containsInteger="1" minValue="4" maxValue="5"/>
    </cacheField>
    <cacheField name="VR Opinion" numFmtId="0">
      <sharedItems/>
    </cacheField>
    <cacheField name="Category" numFmtId="0">
      <sharedItems count="33">
        <s v="Equity: Large Cap"/>
        <s v="Equity: Large &amp; MidCap"/>
        <s v="Equity: Flexi Cap"/>
        <s v="Equity: Multi Cap"/>
        <s v="Equity: Mid Cap"/>
        <s v="Equity: Small Cap"/>
        <s v="Equity: Value Oriented"/>
        <s v="Equity: ELSS"/>
        <s v="Equity: Sectoral-Banking"/>
        <s v="Equity: Sectoral-Pharma"/>
        <s v="Equity: Thematic-Consumption"/>
        <s v="Equity: Thematic-Infrastructure"/>
        <s v="Debt: Medium to Long Duration"/>
        <s v="Debt: Medium Duration"/>
        <s v="Debt: Short Duration"/>
        <s v="Debt: Low Duration"/>
        <s v="Debt: Ultra Short Duration"/>
        <s v="Debt: Liquid"/>
        <s v="Debt: Money Market"/>
        <s v="Debt: Overnight"/>
        <s v="Debt: Dynamic Bond"/>
        <s v="Debt: Corporate Bond"/>
        <s v="Debt: Credit Risk"/>
        <s v="Debt: Banking and PSU"/>
        <s v="Debt: Floater"/>
        <s v="Debt: Gilt"/>
        <s v="Hybrid: Aggressive Hybrid"/>
        <s v="Hybrid: Conservative Hybrid"/>
        <s v="Hybrid: Equity Savings"/>
        <s v="Hybrid: Arbitrage"/>
        <s v="Hybrid: Dynamic Asset Allocation"/>
        <s v="Hybrid: Multi Asset Allocation"/>
        <s v="Commodities: Gold"/>
      </sharedItems>
    </cacheField>
    <cacheField name="1 Year Returns (%)" numFmtId="164">
      <sharedItems containsSemiMixedTypes="0" containsString="0" containsNumber="1" minValue="-4.71" maxValue="56.08"/>
    </cacheField>
    <cacheField name="1 Year SIP Returns (%)" numFmtId="164">
      <sharedItems containsSemiMixedTypes="0" containsString="0" containsNumber="1" minValue="-12.01" maxValue="54.35"/>
    </cacheField>
    <cacheField name="3 Year Returns (%)" numFmtId="0">
      <sharedItems containsString="0" containsBlank="1" containsNumber="1" minValue="5.67" maxValue="33.82"/>
    </cacheField>
    <cacheField name="3 Year SIP Returns (%)" numFmtId="0">
      <sharedItems containsString="0" containsBlank="1" containsNumber="1" minValue="2.91" maxValue="44.66"/>
    </cacheField>
    <cacheField name="5 Year Returns (%)" numFmtId="0">
      <sharedItems containsString="0" containsBlank="1" containsNumber="1" minValue="4.8099999999999996" maxValue="28"/>
    </cacheField>
    <cacheField name="5 Year SIP Returns (%)" numFmtId="0">
      <sharedItems containsString="0" containsBlank="1" containsNumber="1" minValue="5.23" maxValue="33.01"/>
    </cacheField>
    <cacheField name="Expense Ratio (%)" numFmtId="164">
      <sharedItems containsSemiMixedTypes="0" containsString="0" containsNumber="1" minValue="0.09" maxValue="7.31"/>
    </cacheField>
    <cacheField name="Riskometer" numFmtId="0">
      <sharedItems/>
    </cacheField>
    <cacheField name="Return Grade" numFmtId="0">
      <sharedItems/>
    </cacheField>
    <cacheField name="Plan" numFmtId="0">
      <sharedItems count="2">
        <s v="Direct"/>
        <s v="Regular"/>
      </sharedItems>
    </cacheField>
    <cacheField name="ReturnScore" numFmtId="0">
      <sharedItems containsSemiMixedTypes="0" containsString="0" containsNumber="1" minValue="0" maxValue="25.863999999999997"/>
    </cacheField>
    <cacheField name="SIPScore" numFmtId="0">
      <sharedItems containsSemiMixedTypes="0" containsString="0" containsNumber="1" minValue="0" maxValue="38.78"/>
    </cacheField>
    <cacheField name="CostScore" numFmtId="0">
      <sharedItems containsSemiMixedTypes="0" containsString="0" containsNumber="1" minValue="9.5000000000000001E-2" maxValue="14.49"/>
    </cacheField>
    <cacheField name="MFScore" numFmtId="2">
      <sharedItems containsSemiMixedTypes="0" containsString="0" containsNumber="1" minValue="9.5000000000000001E-2" maxValue="167.72199999999998"/>
    </cacheField>
    <cacheField name="Rank" numFmtId="1">
      <sharedItems containsSemiMixedTypes="0" containsString="0" containsNumber="1" containsInteger="1" minValue="1" maxValue="58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86">
  <r>
    <x v="0"/>
    <n v="4"/>
    <s v="Unlock"/>
    <x v="0"/>
    <n v="-0.47"/>
    <n v="-6.31"/>
    <n v="13.07"/>
    <n v="5.14"/>
    <n v="12.5"/>
    <n v="9.15"/>
    <n v="1.58"/>
    <s v="Very High"/>
    <s v="Above Avg."/>
    <x v="0"/>
    <n v="11.478000000000002"/>
    <n v="7.1449999999999996"/>
    <n v="7.04"/>
    <n v="55.764000000000003"/>
    <n v="256"/>
  </r>
  <r>
    <x v="1"/>
    <n v="4"/>
    <s v="Unlock"/>
    <x v="0"/>
    <n v="6.69"/>
    <n v="2.58"/>
    <n v="15.81"/>
    <n v="8.65"/>
    <m/>
    <m/>
    <n v="1.1000000000000001"/>
    <s v="Very High"/>
    <s v="Above Avg."/>
    <x v="0"/>
    <n v="6.3240000000000007"/>
    <n v="4.3250000000000002"/>
    <n v="0.55000000000000004"/>
    <n v="28.172000000000001"/>
    <n v="554"/>
  </r>
  <r>
    <x v="2"/>
    <n v="4"/>
    <s v="Unlock"/>
    <x v="0"/>
    <n v="8.1199999999999992"/>
    <n v="6.8"/>
    <n v="20.350000000000001"/>
    <n v="10.29"/>
    <m/>
    <m/>
    <n v="0.89"/>
    <s v="Very High"/>
    <s v="Above Avg."/>
    <x v="0"/>
    <n v="8.14"/>
    <n v="5.1449999999999996"/>
    <n v="0.44500000000000001"/>
    <n v="35.155000000000001"/>
    <n v="389"/>
  </r>
  <r>
    <x v="3"/>
    <n v="4"/>
    <s v="Unlock"/>
    <x v="0"/>
    <n v="2.79"/>
    <n v="-2.89"/>
    <n v="14.78"/>
    <n v="7.14"/>
    <n v="12.89"/>
    <n v="10.4"/>
    <n v="2.2400000000000002"/>
    <s v="Very High"/>
    <s v="Above Avg."/>
    <x v="0"/>
    <n v="12.356999999999999"/>
    <n v="8.77"/>
    <n v="7.5650000000000004"/>
    <n v="62.175999999999995"/>
    <n v="226"/>
  </r>
  <r>
    <x v="4"/>
    <n v="4"/>
    <s v="Unlock"/>
    <x v="0"/>
    <n v="2.57"/>
    <n v="-0.27"/>
    <n v="14.44"/>
    <n v="6.72"/>
    <n v="13.07"/>
    <n v="10.53"/>
    <n v="2"/>
    <s v="Very High"/>
    <s v="Above Avg."/>
    <x v="0"/>
    <n v="12.311"/>
    <n v="8.625"/>
    <n v="7.5350000000000001"/>
    <n v="61.718000000000004"/>
    <n v="230"/>
  </r>
  <r>
    <x v="5"/>
    <n v="4"/>
    <s v="Unlock"/>
    <x v="0"/>
    <n v="-1.43"/>
    <n v="-6.93"/>
    <n v="12.6"/>
    <n v="4.99"/>
    <n v="11.37"/>
    <n v="8.7100000000000009"/>
    <n v="1.75"/>
    <s v="Very High"/>
    <s v="Avg."/>
    <x v="0"/>
    <n v="10.725"/>
    <n v="6.8500000000000005"/>
    <n v="6.56"/>
    <n v="52.435000000000002"/>
    <n v="275"/>
  </r>
  <r>
    <x v="6"/>
    <n v="5"/>
    <s v="Unlock"/>
    <x v="0"/>
    <n v="-2.41"/>
    <n v="-6.84"/>
    <n v="15.09"/>
    <n v="6.23"/>
    <n v="12.28"/>
    <n v="10.35"/>
    <n v="2.52"/>
    <s v="Very High"/>
    <s v="Above Avg."/>
    <x v="0"/>
    <n v="12.176"/>
    <n v="8.2899999999999991"/>
    <n v="7.3999999999999995"/>
    <n v="60.507999999999996"/>
    <n v="236"/>
  </r>
  <r>
    <x v="7"/>
    <n v="5"/>
    <s v="Unlock"/>
    <x v="0"/>
    <n v="6.81"/>
    <n v="2.67"/>
    <n v="15.95"/>
    <n v="8.77"/>
    <n v="14.83"/>
    <n v="12.24"/>
    <n v="0.95"/>
    <s v="Very High"/>
    <s v="Above Avg."/>
    <x v="0"/>
    <n v="13.795"/>
    <n v="10.504999999999999"/>
    <n v="7.89"/>
    <n v="70.284999999999997"/>
    <n v="192"/>
  </r>
  <r>
    <x v="8"/>
    <n v="4"/>
    <s v="Unlock"/>
    <x v="0"/>
    <n v="8.35"/>
    <n v="6.86"/>
    <n v="20.83"/>
    <n v="10.65"/>
    <n v="15.1"/>
    <n v="13.33"/>
    <n v="0.98"/>
    <s v="Very High"/>
    <s v="High"/>
    <x v="0"/>
    <n v="15.881999999999998"/>
    <n v="11.99"/>
    <n v="8.0399999999999991"/>
    <n v="79.665999999999997"/>
    <n v="132"/>
  </r>
  <r>
    <x v="9"/>
    <n v="4"/>
    <s v="Unlock"/>
    <x v="0"/>
    <n v="-0.09"/>
    <n v="-5.13"/>
    <n v="12.29"/>
    <n v="4.59"/>
    <n v="12.11"/>
    <n v="9"/>
    <n v="2.12"/>
    <s v="Very High"/>
    <s v="Avg."/>
    <x v="0"/>
    <n v="10.971"/>
    <n v="6.7949999999999999"/>
    <n v="7.1150000000000002"/>
    <n v="53.618000000000002"/>
    <n v="273"/>
  </r>
  <r>
    <x v="10"/>
    <n v="5"/>
    <s v="Unlock"/>
    <x v="0"/>
    <n v="-1.59"/>
    <n v="-6.6"/>
    <n v="12.48"/>
    <n v="3.95"/>
    <n v="13.84"/>
    <n v="9.59"/>
    <n v="1.58"/>
    <s v="Very High"/>
    <s v="Above Avg."/>
    <x v="0"/>
    <n v="11.912000000000001"/>
    <n v="6.77"/>
    <n v="7.71"/>
    <n v="56.986000000000004"/>
    <n v="246"/>
  </r>
  <r>
    <x v="11"/>
    <n v="4"/>
    <s v="Unlock"/>
    <x v="0"/>
    <n v="7.88"/>
    <n v="4.9000000000000004"/>
    <n v="18.079999999999998"/>
    <n v="9.68"/>
    <m/>
    <m/>
    <n v="0.88"/>
    <s v="Very High"/>
    <s v="Above Avg."/>
    <x v="0"/>
    <n v="7.2319999999999993"/>
    <n v="4.84"/>
    <n v="0.44"/>
    <n v="31.815999999999999"/>
    <n v="504"/>
  </r>
  <r>
    <x v="12"/>
    <n v="5"/>
    <s v="Unlock"/>
    <x v="0"/>
    <n v="6.85"/>
    <n v="2.71"/>
    <n v="16.02"/>
    <n v="8.85"/>
    <m/>
    <m/>
    <n v="1"/>
    <s v="Very High"/>
    <s v="Above Avg."/>
    <x v="0"/>
    <n v="6.4080000000000004"/>
    <n v="4.4249999999999998"/>
    <n v="0.5"/>
    <n v="28.573999999999998"/>
    <n v="546"/>
  </r>
  <r>
    <x v="13"/>
    <n v="5"/>
    <s v="Unlock"/>
    <x v="0"/>
    <n v="17.399999999999999"/>
    <n v="18.98"/>
    <n v="25.53"/>
    <n v="16.37"/>
    <n v="28"/>
    <n v="23.73"/>
    <n v="0.14000000000000001"/>
    <s v="Very High"/>
    <s v="High"/>
    <x v="0"/>
    <n v="24.212000000000003"/>
    <n v="20.05"/>
    <n v="14.07"/>
    <n v="126.80600000000001"/>
    <n v="7"/>
  </r>
  <r>
    <x v="14"/>
    <n v="5"/>
    <s v="Unlock"/>
    <x v="0"/>
    <n v="7.0000000000000007E-2"/>
    <n v="-5.94"/>
    <n v="15.26"/>
    <n v="6.51"/>
    <n v="14.67"/>
    <n v="11.25"/>
    <n v="3.59"/>
    <s v="Very High"/>
    <s v="Above Avg."/>
    <x v="0"/>
    <n v="13.439"/>
    <n v="8.879999999999999"/>
    <n v="9.129999999999999"/>
    <n v="67.206999999999994"/>
    <n v="202"/>
  </r>
  <r>
    <x v="15"/>
    <n v="4"/>
    <s v="Unlock"/>
    <x v="0"/>
    <n v="1.08"/>
    <n v="-4.13"/>
    <n v="13.56"/>
    <n v="5.49"/>
    <n v="12.11"/>
    <n v="9.43"/>
    <n v="0.57999999999999996"/>
    <s v="Very High"/>
    <s v="Avg."/>
    <x v="0"/>
    <n v="11.478999999999999"/>
    <n v="7.46"/>
    <n v="6.3449999999999998"/>
    <n v="55.701999999999998"/>
    <n v="258"/>
  </r>
  <r>
    <x v="16"/>
    <n v="4"/>
    <s v="Unlock"/>
    <x v="0"/>
    <n v="6.65"/>
    <n v="2.5299999999999998"/>
    <n v="15.8"/>
    <n v="8.67"/>
    <m/>
    <m/>
    <n v="1.25"/>
    <s v="Very High"/>
    <s v="Above Avg."/>
    <x v="0"/>
    <n v="6.32"/>
    <n v="4.335"/>
    <n v="0.625"/>
    <n v="28.255000000000003"/>
    <n v="552"/>
  </r>
  <r>
    <x v="17"/>
    <n v="4"/>
    <s v="Unlock"/>
    <x v="0"/>
    <n v="2.12"/>
    <n v="-3.12"/>
    <n v="15.53"/>
    <n v="7"/>
    <n v="13.55"/>
    <n v="10.5"/>
    <n v="2.08"/>
    <s v="Very High"/>
    <s v="Above Avg."/>
    <x v="0"/>
    <n v="12.987"/>
    <n v="8.75"/>
    <n v="7.8150000000000004"/>
    <n v="64.275999999999996"/>
    <n v="212"/>
  </r>
  <r>
    <x v="18"/>
    <n v="4"/>
    <s v="Unlock"/>
    <x v="0"/>
    <n v="0.86"/>
    <n v="-5.19"/>
    <n v="12.92"/>
    <n v="5.64"/>
    <n v="12.12"/>
    <n v="9.24"/>
    <n v="1.89"/>
    <s v="Very High"/>
    <s v="Avg."/>
    <x v="0"/>
    <n v="11.228"/>
    <n v="7.4399999999999995"/>
    <n v="7.0049999999999999"/>
    <n v="55.568999999999996"/>
    <n v="262"/>
  </r>
  <r>
    <x v="19"/>
    <n v="4"/>
    <s v="Unlock"/>
    <x v="0"/>
    <n v="8.33"/>
    <n v="6.98"/>
    <n v="20.72"/>
    <n v="10.66"/>
    <n v="15.03"/>
    <n v="13.29"/>
    <n v="0.9"/>
    <s v="Very High"/>
    <s v="High"/>
    <x v="0"/>
    <n v="15.803000000000001"/>
    <n v="11.975"/>
    <n v="7.9649999999999999"/>
    <n v="79.324000000000012"/>
    <n v="134"/>
  </r>
  <r>
    <x v="20"/>
    <n v="4"/>
    <s v="Unlock"/>
    <x v="0"/>
    <n v="3.38"/>
    <n v="-1.33"/>
    <n v="14.48"/>
    <n v="6.77"/>
    <n v="13.29"/>
    <n v="10.45"/>
    <n v="0.11"/>
    <s v="Very High"/>
    <s v="Above Avg."/>
    <x v="0"/>
    <n v="12.437000000000001"/>
    <n v="8.61"/>
    <n v="6.6999999999999993"/>
    <n v="61.231000000000009"/>
    <n v="232"/>
  </r>
  <r>
    <x v="21"/>
    <n v="4"/>
    <s v="Unlock"/>
    <x v="0"/>
    <n v="7.86"/>
    <n v="6.38"/>
    <n v="20.48"/>
    <n v="10.34"/>
    <m/>
    <m/>
    <n v="1.07"/>
    <s v="Very High"/>
    <s v="Above Avg."/>
    <x v="0"/>
    <n v="8.1920000000000002"/>
    <n v="5.17"/>
    <n v="0.53500000000000003"/>
    <n v="35.450999999999993"/>
    <n v="383"/>
  </r>
  <r>
    <x v="22"/>
    <n v="5"/>
    <s v="Unlock"/>
    <x v="0"/>
    <n v="3.05"/>
    <n v="-3.29"/>
    <n v="16.16"/>
    <n v="7.34"/>
    <n v="17.079999999999998"/>
    <n v="12.88"/>
    <n v="2.08"/>
    <s v="Very High"/>
    <s v="Above Avg."/>
    <x v="0"/>
    <n v="15.004"/>
    <n v="10.11"/>
    <n v="9.5799999999999983"/>
    <n v="74.811999999999998"/>
    <n v="162"/>
  </r>
  <r>
    <x v="23"/>
    <n v="4"/>
    <s v="Unlock"/>
    <x v="0"/>
    <n v="9.02"/>
    <n v="7.57"/>
    <n v="21.18"/>
    <n v="11.12"/>
    <n v="15.23"/>
    <n v="13.65"/>
    <n v="0.3"/>
    <s v="Very High"/>
    <s v="High"/>
    <x v="0"/>
    <n v="16.087"/>
    <n v="12.385"/>
    <n v="7.7650000000000006"/>
    <n v="80.795999999999992"/>
    <n v="130"/>
  </r>
  <r>
    <x v="24"/>
    <n v="4"/>
    <s v="Unlock"/>
    <x v="0"/>
    <n v="2.3199999999999998"/>
    <n v="-2.17"/>
    <n v="12.03"/>
    <n v="6.1"/>
    <n v="12.24"/>
    <n v="9.4600000000000009"/>
    <n v="1.47"/>
    <s v="Very High"/>
    <s v="Avg."/>
    <x v="0"/>
    <n v="10.932"/>
    <n v="7.78"/>
    <n v="6.8550000000000004"/>
    <n v="55.210999999999999"/>
    <n v="268"/>
  </r>
  <r>
    <x v="25"/>
    <n v="5"/>
    <s v="Unlock"/>
    <x v="0"/>
    <n v="8.24"/>
    <n v="6.83"/>
    <n v="20.71"/>
    <n v="10.59"/>
    <m/>
    <m/>
    <n v="0.71"/>
    <s v="Very High"/>
    <s v="High"/>
    <x v="0"/>
    <n v="8.2840000000000007"/>
    <n v="5.2949999999999999"/>
    <n v="0.35499999999999998"/>
    <n v="35.797000000000004"/>
    <n v="359"/>
  </r>
  <r>
    <x v="26"/>
    <n v="4"/>
    <s v="Unlock"/>
    <x v="0"/>
    <n v="7.83"/>
    <n v="5.0199999999999996"/>
    <n v="17.79"/>
    <n v="9.5500000000000007"/>
    <n v="14.25"/>
    <n v="12.35"/>
    <n v="1.06"/>
    <s v="Very High"/>
    <s v="Above Avg."/>
    <x v="0"/>
    <n v="14.241"/>
    <n v="10.95"/>
    <n v="7.6550000000000002"/>
    <n v="72.277999999999992"/>
    <n v="182"/>
  </r>
  <r>
    <x v="27"/>
    <n v="4"/>
    <s v="Unlock"/>
    <x v="0"/>
    <n v="2.52"/>
    <n v="-1.62"/>
    <n v="13.25"/>
    <n v="6.04"/>
    <n v="12.53"/>
    <n v="9.59"/>
    <n v="2.33"/>
    <s v="Very High"/>
    <s v="Above Avg."/>
    <x v="0"/>
    <n v="11.565000000000001"/>
    <n v="7.8149999999999995"/>
    <n v="7.43"/>
    <n v="57.755000000000003"/>
    <n v="244"/>
  </r>
  <r>
    <x v="28"/>
    <n v="4"/>
    <s v="Unlock"/>
    <x v="0"/>
    <n v="1.28"/>
    <n v="-4.43"/>
    <n v="15.01"/>
    <n v="7.07"/>
    <m/>
    <m/>
    <n v="2.63"/>
    <s v="Very High"/>
    <s v="Above Avg."/>
    <x v="0"/>
    <n v="6.0040000000000004"/>
    <n v="3.5350000000000001"/>
    <n v="1.3149999999999999"/>
    <n v="26.397000000000002"/>
    <n v="566"/>
  </r>
  <r>
    <x v="29"/>
    <n v="5"/>
    <s v="Unlock"/>
    <x v="1"/>
    <n v="9.77"/>
    <n v="5.76"/>
    <n v="23.13"/>
    <n v="13.09"/>
    <n v="19.12"/>
    <n v="17.22"/>
    <n v="2.9"/>
    <s v="Very High"/>
    <s v="High"/>
    <x v="0"/>
    <n v="18.812000000000001"/>
    <n v="15.154999999999999"/>
    <n v="11.01"/>
    <n v="97.756000000000014"/>
    <n v="53"/>
  </r>
  <r>
    <x v="30"/>
    <n v="4"/>
    <s v="Unlock"/>
    <x v="1"/>
    <n v="1.71"/>
    <n v="-3"/>
    <n v="18.399999999999999"/>
    <n v="8.3000000000000007"/>
    <n v="15.02"/>
    <n v="12.74"/>
    <n v="2.12"/>
    <s v="Very High"/>
    <s v="Above Avg."/>
    <x v="0"/>
    <n v="14.87"/>
    <n v="10.52"/>
    <n v="8.57"/>
    <n v="74.22"/>
    <n v="166"/>
  </r>
  <r>
    <x v="31"/>
    <n v="4"/>
    <s v="Unlock"/>
    <x v="1"/>
    <n v="3.83"/>
    <n v="-2.27"/>
    <n v="17.899999999999999"/>
    <n v="7.49"/>
    <n v="17.559999999999999"/>
    <n v="13.3"/>
    <n v="1.59"/>
    <s v="Very High"/>
    <s v="Above Avg."/>
    <x v="0"/>
    <n v="15.94"/>
    <n v="10.395"/>
    <n v="9.5749999999999993"/>
    <n v="78.185000000000002"/>
    <n v="142"/>
  </r>
  <r>
    <x v="32"/>
    <n v="5"/>
    <s v="Unlock"/>
    <x v="1"/>
    <n v="4.76"/>
    <n v="-0.1"/>
    <n v="19.510000000000002"/>
    <n v="10.55"/>
    <n v="19.350000000000001"/>
    <n v="15.25"/>
    <n v="2.3199999999999998"/>
    <s v="Very High"/>
    <s v="Above Avg."/>
    <x v="0"/>
    <n v="17.479000000000003"/>
    <n v="12.9"/>
    <n v="10.835000000000001"/>
    <n v="89.072000000000003"/>
    <n v="83"/>
  </r>
  <r>
    <x v="33"/>
    <n v="4"/>
    <s v="Unlock"/>
    <x v="1"/>
    <n v="8.69"/>
    <n v="0.98"/>
    <n v="23.14"/>
    <n v="13.51"/>
    <n v="17.71"/>
    <n v="16.59"/>
    <n v="1.9"/>
    <s v="Very High"/>
    <s v="High"/>
    <x v="0"/>
    <n v="18.111000000000001"/>
    <n v="15.05"/>
    <n v="9.8049999999999997"/>
    <n v="94.238"/>
    <n v="61"/>
  </r>
  <r>
    <x v="34"/>
    <n v="4"/>
    <s v="Unlock"/>
    <x v="1"/>
    <n v="15.63"/>
    <n v="9.31"/>
    <n v="25.52"/>
    <n v="15.88"/>
    <n v="20.97"/>
    <n v="19.38"/>
    <n v="1.91"/>
    <s v="Very High"/>
    <s v="High"/>
    <x v="0"/>
    <n v="20.692999999999998"/>
    <n v="17.63"/>
    <n v="11.44"/>
    <n v="108.779"/>
    <n v="35"/>
  </r>
  <r>
    <x v="35"/>
    <n v="4"/>
    <s v="Unlock"/>
    <x v="1"/>
    <n v="3.77"/>
    <n v="-0.43"/>
    <n v="19.32"/>
    <n v="9.7200000000000006"/>
    <n v="16.649999999999999"/>
    <n v="13.98"/>
    <n v="1.8"/>
    <s v="Very High"/>
    <s v="Above Avg."/>
    <x v="0"/>
    <n v="16.053000000000001"/>
    <n v="11.850000000000001"/>
    <n v="9.2249999999999996"/>
    <n v="81.084000000000003"/>
    <n v="124"/>
  </r>
  <r>
    <x v="36"/>
    <n v="4"/>
    <s v="Unlock"/>
    <x v="1"/>
    <n v="7.36"/>
    <n v="1"/>
    <n v="16.09"/>
    <n v="9.1"/>
    <n v="16.53"/>
    <n v="12.82"/>
    <n v="1.72"/>
    <s v="Very High"/>
    <s v="Avg."/>
    <x v="0"/>
    <n v="14.701000000000001"/>
    <n v="10.96"/>
    <n v="9.125"/>
    <n v="75.147999999999996"/>
    <n v="156"/>
  </r>
  <r>
    <x v="37"/>
    <n v="5"/>
    <s v="Unlock"/>
    <x v="1"/>
    <n v="6.37"/>
    <n v="2.1"/>
    <n v="20.12"/>
    <n v="10.84"/>
    <n v="17.61"/>
    <n v="15.01"/>
    <n v="1.85"/>
    <s v="Very High"/>
    <s v="Above Avg."/>
    <x v="0"/>
    <n v="16.853000000000002"/>
    <n v="12.925000000000001"/>
    <n v="9.73"/>
    <n v="86.13900000000001"/>
    <n v="106"/>
  </r>
  <r>
    <x v="38"/>
    <n v="4"/>
    <s v="Unlock"/>
    <x v="2"/>
    <n v="6.66"/>
    <n v="2.86"/>
    <n v="17.36"/>
    <n v="10.210000000000001"/>
    <n v="13.7"/>
    <n v="12.34"/>
    <n v="1.6"/>
    <s v="Very High"/>
    <s v="Above Avg."/>
    <x v="0"/>
    <n v="13.794"/>
    <n v="11.275"/>
    <n v="7.6499999999999995"/>
    <n v="71.582000000000008"/>
    <n v="186"/>
  </r>
  <r>
    <x v="39"/>
    <n v="4"/>
    <s v="Unlock"/>
    <x v="2"/>
    <n v="14.82"/>
    <n v="11.25"/>
    <n v="21.8"/>
    <n v="12.44"/>
    <n v="18.510000000000002"/>
    <n v="16.03"/>
    <n v="2.96"/>
    <s v="Very High"/>
    <s v="High"/>
    <x v="0"/>
    <n v="17.975000000000001"/>
    <n v="14.234999999999999"/>
    <n v="10.735000000000001"/>
    <n v="93.13000000000001"/>
    <n v="71"/>
  </r>
  <r>
    <x v="40"/>
    <n v="4"/>
    <s v="Unlock"/>
    <x v="2"/>
    <n v="1.98"/>
    <n v="-6.64"/>
    <n v="14.93"/>
    <n v="6.59"/>
    <m/>
    <m/>
    <n v="2.09"/>
    <s v="Very High"/>
    <s v="Avg."/>
    <x v="0"/>
    <n v="5.9720000000000004"/>
    <n v="3.2949999999999999"/>
    <n v="1.0449999999999999"/>
    <n v="25.551000000000002"/>
    <n v="568"/>
  </r>
  <r>
    <x v="41"/>
    <n v="4"/>
    <s v="Unlock"/>
    <x v="2"/>
    <n v="4.7300000000000004"/>
    <n v="-0.41"/>
    <n v="17.16"/>
    <n v="8.5500000000000007"/>
    <n v="15.17"/>
    <n v="12.36"/>
    <n v="1.92"/>
    <s v="Very High"/>
    <s v="Above Avg."/>
    <x v="0"/>
    <n v="14.449000000000002"/>
    <n v="10.455"/>
    <n v="8.5449999999999999"/>
    <n v="72.802000000000007"/>
    <n v="178"/>
  </r>
  <r>
    <x v="42"/>
    <n v="4"/>
    <s v="Unlock"/>
    <x v="2"/>
    <n v="2.37"/>
    <n v="-2.2400000000000002"/>
    <n v="15.37"/>
    <n v="6.9"/>
    <m/>
    <m/>
    <n v="2.23"/>
    <s v="Very High"/>
    <s v="Above Avg."/>
    <x v="0"/>
    <n v="6.1479999999999997"/>
    <n v="3.45"/>
    <n v="1.115"/>
    <n v="26.459"/>
    <n v="564"/>
  </r>
  <r>
    <x v="43"/>
    <n v="4"/>
    <s v="Unlock"/>
    <x v="2"/>
    <n v="-1.39"/>
    <n v="-6.27"/>
    <n v="16"/>
    <n v="5.83"/>
    <n v="15.39"/>
    <n v="11.21"/>
    <n v="1.71"/>
    <s v="Very High"/>
    <s v="Above Avg."/>
    <x v="0"/>
    <n v="14.095000000000001"/>
    <n v="8.52"/>
    <n v="8.5500000000000007"/>
    <n v="67.875"/>
    <n v="198"/>
  </r>
  <r>
    <x v="44"/>
    <n v="4"/>
    <s v="Unlock"/>
    <x v="2"/>
    <n v="-2.84"/>
    <n v="-9.8699999999999992"/>
    <n v="13.16"/>
    <n v="3.34"/>
    <n v="13.83"/>
    <n v="8.99"/>
    <n v="1.88"/>
    <s v="Very High"/>
    <s v="Avg."/>
    <x v="0"/>
    <n v="12.179"/>
    <n v="6.165"/>
    <n v="7.8550000000000004"/>
    <n v="56.721999999999994"/>
    <n v="250"/>
  </r>
  <r>
    <x v="45"/>
    <n v="5"/>
    <s v="Unlock"/>
    <x v="2"/>
    <n v="1.23"/>
    <n v="-4.6399999999999997"/>
    <n v="18.760000000000002"/>
    <n v="9.6199999999999992"/>
    <n v="19.54"/>
    <n v="15.3"/>
    <n v="1.27"/>
    <s v="Very High"/>
    <s v="High"/>
    <x v="0"/>
    <n v="17.274000000000001"/>
    <n v="12.46"/>
    <n v="10.404999999999999"/>
    <n v="87.147000000000006"/>
    <n v="93"/>
  </r>
  <r>
    <x v="46"/>
    <n v="5"/>
    <s v="Unlock"/>
    <x v="2"/>
    <n v="0.44"/>
    <n v="-6.25"/>
    <n v="17.86"/>
    <n v="8.8800000000000008"/>
    <n v="20.23"/>
    <n v="15.12"/>
    <n v="1.6"/>
    <s v="Very High"/>
    <s v="High"/>
    <x v="0"/>
    <n v="17.259"/>
    <n v="12"/>
    <n v="10.915000000000001"/>
    <n v="86.692000000000007"/>
    <n v="96"/>
  </r>
  <r>
    <x v="47"/>
    <n v="4"/>
    <s v="Unlock"/>
    <x v="2"/>
    <n v="-1.51"/>
    <n v="-7.69"/>
    <n v="13.6"/>
    <n v="4.2300000000000004"/>
    <n v="15.97"/>
    <n v="10.71"/>
    <n v="1.83"/>
    <s v="Very High"/>
    <s v="Avg."/>
    <x v="0"/>
    <n v="13.425000000000001"/>
    <n v="7.4700000000000006"/>
    <n v="8.9"/>
    <n v="64.115000000000009"/>
    <n v="214"/>
  </r>
  <r>
    <x v="48"/>
    <n v="4"/>
    <s v="Unlock"/>
    <x v="2"/>
    <n v="8.0500000000000007"/>
    <n v="3.56"/>
    <n v="18.27"/>
    <n v="9.9700000000000006"/>
    <n v="15.49"/>
    <n v="13.23"/>
    <n v="2.2999999999999998"/>
    <s v="Very High"/>
    <s v="Above Avg."/>
    <x v="0"/>
    <n v="15.053000000000001"/>
    <n v="11.600000000000001"/>
    <n v="8.8949999999999996"/>
    <n v="77.254000000000005"/>
    <n v="148"/>
  </r>
  <r>
    <x v="49"/>
    <n v="5"/>
    <s v="Unlock"/>
    <x v="2"/>
    <n v="2.85"/>
    <n v="-0.6"/>
    <n v="18.97"/>
    <n v="9.6999999999999993"/>
    <n v="17.79"/>
    <n v="14.33"/>
    <n v="0.98"/>
    <s v="Very High"/>
    <s v="High"/>
    <x v="0"/>
    <n v="16.483000000000001"/>
    <n v="12.015000000000001"/>
    <n v="9.3849999999999998"/>
    <n v="82.864000000000004"/>
    <n v="118"/>
  </r>
  <r>
    <x v="50"/>
    <n v="4"/>
    <s v="Unlock"/>
    <x v="2"/>
    <n v="7.85"/>
    <n v="0.06"/>
    <n v="17.489999999999998"/>
    <n v="9.1"/>
    <m/>
    <m/>
    <n v="1.77"/>
    <s v="Very High"/>
    <s v="Above Avg."/>
    <x v="0"/>
    <n v="6.9959999999999996"/>
    <n v="4.55"/>
    <n v="0.88500000000000001"/>
    <n v="30.973000000000003"/>
    <n v="510"/>
  </r>
  <r>
    <x v="51"/>
    <n v="5"/>
    <s v="Unlock"/>
    <x v="2"/>
    <n v="3.28"/>
    <n v="-3.63"/>
    <n v="19.91"/>
    <n v="10.72"/>
    <n v="17.899999999999999"/>
    <n v="14.94"/>
    <n v="2.37"/>
    <s v="Very High"/>
    <s v="High"/>
    <x v="0"/>
    <n v="16.914000000000001"/>
    <n v="12.83"/>
    <n v="10.135"/>
    <n v="86.537000000000006"/>
    <n v="100"/>
  </r>
  <r>
    <x v="52"/>
    <n v="5"/>
    <s v="Unlock"/>
    <x v="2"/>
    <n v="16.829999999999998"/>
    <n v="10.82"/>
    <n v="24.99"/>
    <n v="16.190000000000001"/>
    <n v="22.43"/>
    <n v="19.21"/>
    <n v="2.09"/>
    <s v="Very High"/>
    <s v="High"/>
    <x v="0"/>
    <n v="21.210999999999999"/>
    <n v="17.700000000000003"/>
    <n v="12.26"/>
    <n v="111.29300000000001"/>
    <n v="27"/>
  </r>
  <r>
    <x v="53"/>
    <n v="4"/>
    <s v="Unlock"/>
    <x v="2"/>
    <n v="1.78"/>
    <n v="-6.19"/>
    <n v="18.68"/>
    <n v="7.97"/>
    <m/>
    <m/>
    <n v="1.86"/>
    <s v="Very High"/>
    <s v="High"/>
    <x v="0"/>
    <n v="7.4720000000000004"/>
    <n v="3.9849999999999999"/>
    <n v="0.93"/>
    <n v="31.315999999999999"/>
    <n v="508"/>
  </r>
  <r>
    <x v="54"/>
    <n v="4"/>
    <s v="Unlock"/>
    <x v="2"/>
    <n v="-2.85"/>
    <n v="-7.26"/>
    <n v="21.28"/>
    <n v="8.11"/>
    <n v="15.82"/>
    <n v="12.98"/>
    <n v="1.89"/>
    <s v="Very High"/>
    <s v="Above Avg."/>
    <x v="0"/>
    <n v="16.422000000000001"/>
    <n v="10.545"/>
    <n v="8.8550000000000004"/>
    <n v="79.211000000000013"/>
    <n v="136"/>
  </r>
  <r>
    <x v="55"/>
    <n v="4"/>
    <s v="Unlock"/>
    <x v="2"/>
    <n v="9.9700000000000006"/>
    <n v="4.3899999999999997"/>
    <n v="19.84"/>
    <n v="10.02"/>
    <m/>
    <m/>
    <n v="2.52"/>
    <s v="Very High"/>
    <s v="High"/>
    <x v="0"/>
    <n v="7.9359999999999999"/>
    <n v="5.01"/>
    <n v="1.26"/>
    <n v="35.088000000000001"/>
    <n v="391"/>
  </r>
  <r>
    <x v="56"/>
    <n v="4"/>
    <s v="Unlock"/>
    <x v="2"/>
    <n v="-1.05"/>
    <n v="-4.0199999999999996"/>
    <n v="18.45"/>
    <n v="5.13"/>
    <n v="17.329999999999998"/>
    <n v="12.93"/>
    <n v="2.58"/>
    <s v="Very High"/>
    <s v="Above Avg."/>
    <x v="0"/>
    <n v="16.044999999999998"/>
    <n v="9.0299999999999994"/>
    <n v="9.9549999999999983"/>
    <n v="76.149999999999991"/>
    <n v="152"/>
  </r>
  <r>
    <x v="57"/>
    <n v="4"/>
    <s v="Unlock"/>
    <x v="2"/>
    <n v="10"/>
    <n v="2.92"/>
    <n v="16.21"/>
    <n v="9.9700000000000006"/>
    <n v="14.22"/>
    <n v="11.98"/>
    <n v="2.29"/>
    <s v="Very High"/>
    <s v="Avg."/>
    <x v="0"/>
    <n v="13.594000000000001"/>
    <n v="10.975000000000001"/>
    <n v="8.2550000000000008"/>
    <n v="70.987000000000009"/>
    <n v="188"/>
  </r>
  <r>
    <x v="58"/>
    <n v="4"/>
    <s v="Unlock"/>
    <x v="2"/>
    <n v="3.23"/>
    <n v="1.2"/>
    <n v="17.739999999999998"/>
    <n v="8.67"/>
    <n v="16.82"/>
    <n v="13.34"/>
    <n v="2.13"/>
    <s v="Very High"/>
    <s v="Above Avg."/>
    <x v="0"/>
    <n v="15.506"/>
    <n v="11.004999999999999"/>
    <n v="9.4749999999999996"/>
    <n v="78.002999999999986"/>
    <n v="144"/>
  </r>
  <r>
    <x v="59"/>
    <n v="4"/>
    <s v="Unlock"/>
    <x v="2"/>
    <n v="2.2400000000000002"/>
    <n v="-1.87"/>
    <n v="16.010000000000002"/>
    <n v="6.27"/>
    <n v="14.3"/>
    <n v="10.93"/>
    <n v="2.09"/>
    <s v="Very High"/>
    <s v="Above Avg."/>
    <x v="0"/>
    <n v="13.554000000000002"/>
    <n v="8.6"/>
    <n v="8.1950000000000003"/>
    <n v="66.057000000000016"/>
    <n v="204"/>
  </r>
  <r>
    <x v="60"/>
    <n v="5"/>
    <s v="Unlock"/>
    <x v="2"/>
    <n v="3.77"/>
    <n v="-1.46"/>
    <n v="16.829999999999998"/>
    <n v="9.27"/>
    <n v="15.85"/>
    <n v="13.27"/>
    <n v="1.36"/>
    <s v="Very High"/>
    <s v="Above Avg."/>
    <x v="0"/>
    <n v="14.657"/>
    <n v="11.27"/>
    <n v="8.6050000000000004"/>
    <n v="75.116"/>
    <n v="158"/>
  </r>
  <r>
    <x v="61"/>
    <n v="4"/>
    <s v="Unlock"/>
    <x v="2"/>
    <n v="15.83"/>
    <n v="15.25"/>
    <n v="18.72"/>
    <n v="14.78"/>
    <n v="15.04"/>
    <n v="14.29"/>
    <n v="1.51"/>
    <s v="Very High"/>
    <s v="Above Avg."/>
    <x v="0"/>
    <n v="15.007999999999999"/>
    <n v="14.535"/>
    <n v="8.2750000000000004"/>
    <n v="82.369"/>
    <n v="122"/>
  </r>
  <r>
    <x v="62"/>
    <n v="4"/>
    <s v="Unlock"/>
    <x v="2"/>
    <n v="7.5"/>
    <n v="2.77"/>
    <n v="16.7"/>
    <n v="8.59"/>
    <m/>
    <m/>
    <n v="2.42"/>
    <s v="Very High"/>
    <s v="Above Avg."/>
    <x v="0"/>
    <n v="6.68"/>
    <n v="4.2949999999999999"/>
    <n v="1.21"/>
    <n v="29.84"/>
    <n v="542"/>
  </r>
  <r>
    <x v="63"/>
    <n v="4"/>
    <s v="Unlock"/>
    <x v="2"/>
    <n v="3.73"/>
    <n v="-1.94"/>
    <n v="17.63"/>
    <n v="8.34"/>
    <m/>
    <m/>
    <n v="1.92"/>
    <s v="Very High"/>
    <s v="Above Avg."/>
    <x v="0"/>
    <n v="7.0519999999999996"/>
    <n v="4.17"/>
    <n v="0.96"/>
    <n v="30.456"/>
    <n v="516"/>
  </r>
  <r>
    <x v="64"/>
    <n v="5"/>
    <s v="Unlock"/>
    <x v="3"/>
    <n v="7.22"/>
    <n v="1.24"/>
    <n v="21.3"/>
    <n v="10.81"/>
    <m/>
    <m/>
    <n v="2.29"/>
    <s v="Very High"/>
    <s v="High"/>
    <x v="0"/>
    <n v="8.5200000000000014"/>
    <n v="5.4050000000000002"/>
    <n v="1.145"/>
    <n v="37.515000000000008"/>
    <n v="335"/>
  </r>
  <r>
    <x v="65"/>
    <n v="4"/>
    <s v="Unlock"/>
    <x v="3"/>
    <n v="13.77"/>
    <n v="10.51"/>
    <n v="21.12"/>
    <n v="12.49"/>
    <m/>
    <m/>
    <n v="2.2400000000000002"/>
    <s v="Very High"/>
    <s v="Above Avg."/>
    <x v="0"/>
    <n v="8.4480000000000004"/>
    <n v="6.2450000000000001"/>
    <n v="1.1200000000000001"/>
    <n v="38.954000000000001"/>
    <n v="333"/>
  </r>
  <r>
    <x v="66"/>
    <n v="4"/>
    <s v="Unlock"/>
    <x v="3"/>
    <n v="9.74"/>
    <n v="5.17"/>
    <n v="22.24"/>
    <n v="11.16"/>
    <m/>
    <m/>
    <n v="2.2200000000000002"/>
    <s v="Very High"/>
    <s v="High"/>
    <x v="0"/>
    <n v="8.895999999999999"/>
    <n v="5.58"/>
    <n v="1.1100000000000001"/>
    <n v="38.957999999999998"/>
    <n v="331"/>
  </r>
  <r>
    <x v="67"/>
    <n v="4"/>
    <s v="Unlock"/>
    <x v="3"/>
    <n v="7.74"/>
    <n v="7.85"/>
    <n v="20.309999999999999"/>
    <n v="11.44"/>
    <n v="17.829999999999998"/>
    <n v="15.16"/>
    <n v="2.02"/>
    <s v="Very High"/>
    <s v="Avg."/>
    <x v="0"/>
    <n v="17.039000000000001"/>
    <n v="13.3"/>
    <n v="9.9249999999999989"/>
    <n v="87.64200000000001"/>
    <n v="89"/>
  </r>
  <r>
    <x v="68"/>
    <n v="5"/>
    <s v="Unlock"/>
    <x v="3"/>
    <n v="11.15"/>
    <n v="6.06"/>
    <n v="22.8"/>
    <n v="11.97"/>
    <m/>
    <m/>
    <n v="1.64"/>
    <s v="Very High"/>
    <s v="High"/>
    <x v="0"/>
    <n v="9.120000000000001"/>
    <n v="5.9850000000000003"/>
    <n v="0.82"/>
    <n v="40.150000000000006"/>
    <n v="325"/>
  </r>
  <r>
    <x v="69"/>
    <n v="4"/>
    <s v="Unlock"/>
    <x v="3"/>
    <n v="10.06"/>
    <n v="6.32"/>
    <n v="20.36"/>
    <n v="10.59"/>
    <n v="17.84"/>
    <n v="14.39"/>
    <n v="2.91"/>
    <s v="Very High"/>
    <s v="Above Avg."/>
    <x v="0"/>
    <n v="17.064"/>
    <n v="12.49"/>
    <n v="10.375"/>
    <n v="86.546999999999997"/>
    <n v="98"/>
  </r>
  <r>
    <x v="70"/>
    <n v="5"/>
    <s v="Unlock"/>
    <x v="3"/>
    <n v="7.19"/>
    <n v="1.59"/>
    <n v="20.32"/>
    <n v="9.75"/>
    <n v="21.31"/>
    <n v="16.27"/>
    <n v="1.47"/>
    <s v="Very High"/>
    <s v="Above Avg."/>
    <x v="0"/>
    <n v="18.783000000000001"/>
    <n v="13.01"/>
    <n v="11.389999999999999"/>
    <n v="93.759"/>
    <n v="63"/>
  </r>
  <r>
    <x v="71"/>
    <n v="5"/>
    <s v="Unlock"/>
    <x v="4"/>
    <n v="10.73"/>
    <n v="5.67"/>
    <n v="24.72"/>
    <n v="14.67"/>
    <n v="21.02"/>
    <n v="18.48"/>
    <n v="1.8"/>
    <s v="Very High"/>
    <s v="Above Avg."/>
    <x v="0"/>
    <n v="20.398"/>
    <n v="16.574999999999999"/>
    <n v="11.41"/>
    <n v="105.75399999999999"/>
    <n v="39"/>
  </r>
  <r>
    <x v="72"/>
    <n v="5"/>
    <s v="Unlock"/>
    <x v="4"/>
    <n v="10.69"/>
    <n v="2.78"/>
    <n v="23.56"/>
    <n v="12.21"/>
    <n v="21.25"/>
    <n v="18.34"/>
    <n v="1.3"/>
    <s v="Very High"/>
    <s v="Above Avg."/>
    <x v="0"/>
    <n v="20.048999999999999"/>
    <n v="15.275"/>
    <n v="11.275"/>
    <n v="101.97200000000001"/>
    <n v="45"/>
  </r>
  <r>
    <x v="73"/>
    <n v="4"/>
    <s v="Unlock"/>
    <x v="4"/>
    <n v="24.33"/>
    <n v="19.63"/>
    <n v="26.21"/>
    <n v="18.78"/>
    <n v="20.73"/>
    <n v="19.600000000000001"/>
    <n v="1.84"/>
    <s v="Very High"/>
    <s v="Above Avg."/>
    <x v="0"/>
    <n v="20.849000000000004"/>
    <n v="19.190000000000001"/>
    <n v="11.285"/>
    <n v="112.21200000000002"/>
    <n v="25"/>
  </r>
  <r>
    <x v="74"/>
    <n v="4"/>
    <s v="Unlock"/>
    <x v="4"/>
    <n v="13.6"/>
    <n v="4.16"/>
    <n v="25.59"/>
    <n v="16.05"/>
    <n v="21.01"/>
    <n v="19.18"/>
    <n v="2.17"/>
    <s v="Very High"/>
    <s v="High"/>
    <x v="0"/>
    <n v="20.741"/>
    <n v="17.615000000000002"/>
    <n v="11.59"/>
    <n v="109.04300000000001"/>
    <n v="33"/>
  </r>
  <r>
    <x v="75"/>
    <n v="4"/>
    <s v="Unlock"/>
    <x v="4"/>
    <n v="11.39"/>
    <n v="6.83"/>
    <n v="23.61"/>
    <n v="12.25"/>
    <n v="16.78"/>
    <n v="16.260000000000002"/>
    <n v="1.84"/>
    <s v="Very High"/>
    <s v="Above Avg."/>
    <x v="0"/>
    <n v="17.834000000000003"/>
    <n v="14.255000000000001"/>
    <n v="9.31"/>
    <n v="91.322000000000017"/>
    <n v="75"/>
  </r>
  <r>
    <x v="76"/>
    <n v="4"/>
    <s v="Unlock"/>
    <x v="4"/>
    <n v="7.09"/>
    <n v="3.68"/>
    <n v="23.26"/>
    <n v="10.26"/>
    <m/>
    <m/>
    <n v="2.31"/>
    <s v="Very High"/>
    <s v="Above Avg."/>
    <x v="0"/>
    <n v="9.3040000000000003"/>
    <n v="5.13"/>
    <n v="1.155"/>
    <n v="39.326999999999998"/>
    <n v="329"/>
  </r>
  <r>
    <x v="77"/>
    <n v="4"/>
    <s v="Unlock"/>
    <x v="4"/>
    <n v="13.91"/>
    <n v="6.69"/>
    <n v="21.47"/>
    <n v="13.11"/>
    <n v="18.88"/>
    <n v="16.37"/>
    <n v="1.45"/>
    <s v="Very High"/>
    <s v="Avg."/>
    <x v="0"/>
    <n v="18.027999999999999"/>
    <n v="14.74"/>
    <n v="10.164999999999999"/>
    <n v="93.728999999999985"/>
    <n v="65"/>
  </r>
  <r>
    <x v="78"/>
    <n v="4"/>
    <s v="Unlock"/>
    <x v="4"/>
    <n v="12.03"/>
    <n v="11.03"/>
    <n v="24.21"/>
    <n v="13.27"/>
    <n v="20.100000000000001"/>
    <n v="17.7"/>
    <n v="2.27"/>
    <s v="Very High"/>
    <s v="Above Avg."/>
    <x v="0"/>
    <n v="19.734000000000002"/>
    <n v="15.484999999999999"/>
    <n v="11.185"/>
    <n v="101.357"/>
    <n v="47"/>
  </r>
  <r>
    <x v="79"/>
    <n v="4"/>
    <s v="Unlock"/>
    <x v="4"/>
    <n v="-3.85"/>
    <n v="-12.01"/>
    <n v="20.88"/>
    <n v="6.03"/>
    <n v="22.82"/>
    <n v="15.79"/>
    <n v="1.61"/>
    <s v="Very High"/>
    <s v="High"/>
    <x v="0"/>
    <n v="19.762"/>
    <n v="10.91"/>
    <n v="12.215"/>
    <n v="93.320999999999998"/>
    <n v="69"/>
  </r>
  <r>
    <x v="80"/>
    <n v="5"/>
    <s v="Unlock"/>
    <x v="4"/>
    <n v="12.26"/>
    <n v="8.8800000000000008"/>
    <n v="25.44"/>
    <n v="14.46"/>
    <n v="22.24"/>
    <n v="19.04"/>
    <n v="1.92"/>
    <s v="Very High"/>
    <s v="High"/>
    <x v="0"/>
    <n v="21.295999999999999"/>
    <n v="16.75"/>
    <n v="12.079999999999998"/>
    <n v="109.468"/>
    <n v="31"/>
  </r>
  <r>
    <x v="81"/>
    <n v="4"/>
    <s v="Unlock"/>
    <x v="4"/>
    <n v="11.3"/>
    <n v="5.56"/>
    <n v="24.15"/>
    <n v="13.44"/>
    <n v="19.86"/>
    <n v="17.61"/>
    <n v="2.25"/>
    <s v="Very High"/>
    <s v="Above Avg."/>
    <x v="0"/>
    <n v="19.59"/>
    <n v="15.524999999999999"/>
    <n v="11.055"/>
    <n v="100.875"/>
    <n v="49"/>
  </r>
  <r>
    <x v="82"/>
    <n v="5"/>
    <s v="Unlock"/>
    <x v="4"/>
    <n v="15.16"/>
    <n v="8.4499999999999993"/>
    <n v="25.61"/>
    <n v="15.18"/>
    <m/>
    <m/>
    <n v="2.02"/>
    <s v="Very High"/>
    <s v="Above Avg."/>
    <x v="0"/>
    <n v="10.244"/>
    <n v="7.59"/>
    <n v="1.01"/>
    <n v="46.921999999999997"/>
    <n v="289"/>
  </r>
  <r>
    <x v="83"/>
    <n v="4"/>
    <s v="Unlock"/>
    <x v="5"/>
    <n v="10.08"/>
    <n v="7.41"/>
    <n v="24.27"/>
    <n v="10.89"/>
    <m/>
    <m/>
    <n v="1.05"/>
    <s v="Very High"/>
    <s v="Above Avg."/>
    <x v="0"/>
    <n v="9.7080000000000002"/>
    <n v="5.4450000000000003"/>
    <n v="0.52500000000000002"/>
    <n v="40.539000000000001"/>
    <n v="321"/>
  </r>
  <r>
    <x v="84"/>
    <n v="4"/>
    <s v="Unlock"/>
    <x v="5"/>
    <n v="8.4499999999999993"/>
    <n v="4.16"/>
    <n v="17.829999999999998"/>
    <n v="8.85"/>
    <n v="18.11"/>
    <n v="13.47"/>
    <n v="1.74"/>
    <s v="Very High"/>
    <s v="Below Avg."/>
    <x v="0"/>
    <n v="16.186999999999998"/>
    <n v="11.16"/>
    <n v="9.9249999999999989"/>
    <n v="80.805999999999997"/>
    <n v="128"/>
  </r>
  <r>
    <x v="85"/>
    <n v="5"/>
    <s v="Unlock"/>
    <x v="5"/>
    <n v="13.73"/>
    <n v="8.68"/>
    <n v="30.4"/>
    <n v="16.61"/>
    <n v="22.81"/>
    <n v="20.73"/>
    <n v="1.98"/>
    <s v="Very High"/>
    <s v="High"/>
    <x v="0"/>
    <n v="23.564999999999998"/>
    <n v="18.670000000000002"/>
    <n v="12.395"/>
    <n v="120.42999999999999"/>
    <n v="13"/>
  </r>
  <r>
    <x v="86"/>
    <n v="4"/>
    <s v="Unlock"/>
    <x v="5"/>
    <n v="9.75"/>
    <n v="4.1500000000000004"/>
    <n v="19.04"/>
    <n v="8.69"/>
    <n v="19.37"/>
    <n v="14.24"/>
    <n v="2.13"/>
    <s v="Very High"/>
    <s v="Avg."/>
    <x v="0"/>
    <n v="17.301000000000002"/>
    <n v="11.465"/>
    <n v="10.75"/>
    <n v="85.582999999999998"/>
    <n v="108"/>
  </r>
  <r>
    <x v="87"/>
    <n v="4"/>
    <s v="Unlock"/>
    <x v="5"/>
    <n v="7.06"/>
    <n v="-5.28"/>
    <n v="16.39"/>
    <n v="4.8600000000000003"/>
    <n v="19.079999999999998"/>
    <n v="12.77"/>
    <n v="1.62"/>
    <s v="Very High"/>
    <s v="Above Avg."/>
    <x v="0"/>
    <n v="16.096"/>
    <n v="8.8149999999999995"/>
    <n v="10.35"/>
    <n v="76.267999999999986"/>
    <n v="150"/>
  </r>
  <r>
    <x v="88"/>
    <n v="5"/>
    <s v="Unlock"/>
    <x v="5"/>
    <n v="11.15"/>
    <n v="5.39"/>
    <n v="24.12"/>
    <n v="12.68"/>
    <n v="21.78"/>
    <n v="17.54"/>
    <n v="1.93"/>
    <s v="Very High"/>
    <s v="High"/>
    <x v="0"/>
    <n v="20.538000000000004"/>
    <n v="15.11"/>
    <n v="11.855"/>
    <n v="103.68900000000001"/>
    <n v="41"/>
  </r>
  <r>
    <x v="89"/>
    <n v="4"/>
    <s v="Unlock"/>
    <x v="5"/>
    <n v="12.21"/>
    <n v="10.35"/>
    <n v="25.17"/>
    <n v="13.49"/>
    <n v="17.59"/>
    <n v="17.59"/>
    <n v="1.95"/>
    <s v="Very High"/>
    <s v="Above Avg."/>
    <x v="0"/>
    <n v="18.863"/>
    <n v="15.54"/>
    <n v="9.77"/>
    <n v="97.438999999999993"/>
    <n v="55"/>
  </r>
  <r>
    <x v="90"/>
    <n v="4"/>
    <s v="Unlock"/>
    <x v="5"/>
    <n v="9.85"/>
    <n v="7.03"/>
    <n v="24.28"/>
    <n v="10.96"/>
    <m/>
    <m/>
    <n v="1.52"/>
    <s v="Very High"/>
    <s v="Above Avg."/>
    <x v="0"/>
    <n v="9.7120000000000015"/>
    <n v="5.48"/>
    <n v="0.76"/>
    <n v="40.856000000000002"/>
    <n v="315"/>
  </r>
  <r>
    <x v="91"/>
    <n v="4"/>
    <s v="Unlock"/>
    <x v="5"/>
    <n v="13.69"/>
    <n v="10.210000000000001"/>
    <n v="24.06"/>
    <n v="11.35"/>
    <m/>
    <m/>
    <n v="2.96"/>
    <s v="Very High"/>
    <s v="Above Avg."/>
    <x v="0"/>
    <n v="9.6240000000000006"/>
    <n v="5.6749999999999998"/>
    <n v="1.48"/>
    <n v="41.701999999999998"/>
    <n v="309"/>
  </r>
  <r>
    <x v="92"/>
    <n v="4"/>
    <s v="Unlock"/>
    <x v="5"/>
    <n v="10.36"/>
    <n v="7.52"/>
    <n v="21.1"/>
    <n v="9.5500000000000007"/>
    <n v="22.34"/>
    <n v="16.63"/>
    <n v="1.5"/>
    <s v="Very High"/>
    <s v="Above Avg."/>
    <x v="0"/>
    <n v="19.61"/>
    <n v="13.09"/>
    <n v="11.92"/>
    <n v="96.929999999999993"/>
    <n v="57"/>
  </r>
  <r>
    <x v="93"/>
    <n v="4"/>
    <s v="Unlock"/>
    <x v="5"/>
    <n v="8.43"/>
    <n v="7.23"/>
    <n v="20.13"/>
    <n v="8.4600000000000009"/>
    <n v="21.82"/>
    <n v="15.83"/>
    <n v="2.02"/>
    <s v="Very High"/>
    <s v="High"/>
    <x v="0"/>
    <n v="18.962"/>
    <n v="12.145"/>
    <n v="11.92"/>
    <n v="93.095999999999989"/>
    <n v="73"/>
  </r>
  <r>
    <x v="94"/>
    <n v="4"/>
    <s v="Unlock"/>
    <x v="5"/>
    <n v="15.74"/>
    <n v="12.23"/>
    <n v="20.48"/>
    <n v="11.42"/>
    <n v="19.420000000000002"/>
    <n v="15.46"/>
    <n v="1.91"/>
    <s v="Very High"/>
    <s v="Avg."/>
    <x v="0"/>
    <n v="17.902000000000001"/>
    <n v="13.440000000000001"/>
    <n v="10.665000000000001"/>
    <n v="91.251000000000019"/>
    <n v="77"/>
  </r>
  <r>
    <x v="95"/>
    <n v="4"/>
    <s v="Unlock"/>
    <x v="6"/>
    <n v="7.95"/>
    <n v="2.57"/>
    <n v="20.8"/>
    <n v="10.98"/>
    <m/>
    <m/>
    <n v="2.5499999999999998"/>
    <s v="Very High"/>
    <s v="Above Avg."/>
    <x v="0"/>
    <n v="8.32"/>
    <n v="5.49"/>
    <n v="1.2749999999999999"/>
    <n v="37.214999999999996"/>
    <n v="339"/>
  </r>
  <r>
    <x v="96"/>
    <n v="4"/>
    <s v="Unlock"/>
    <x v="6"/>
    <n v="1.38"/>
    <n v="-2.0099999999999998"/>
    <n v="15.19"/>
    <n v="5.58"/>
    <n v="16.440000000000001"/>
    <n v="11.3"/>
    <n v="2.1"/>
    <s v="Very High"/>
    <s v="Avg."/>
    <x v="0"/>
    <n v="14.296000000000001"/>
    <n v="8.4400000000000013"/>
    <n v="9.2700000000000014"/>
    <n v="69.038000000000011"/>
    <n v="194"/>
  </r>
  <r>
    <x v="97"/>
    <n v="5"/>
    <s v="Unlock"/>
    <x v="6"/>
    <n v="15.03"/>
    <n v="10.36"/>
    <n v="19.21"/>
    <n v="13.9"/>
    <n v="15.01"/>
    <n v="15.12"/>
    <n v="1.94"/>
    <s v="Very High"/>
    <s v="Avg."/>
    <x v="0"/>
    <n v="15.189"/>
    <n v="14.51"/>
    <n v="8.4749999999999996"/>
    <n v="83.061999999999998"/>
    <n v="116"/>
  </r>
  <r>
    <x v="98"/>
    <n v="4"/>
    <s v="Unlock"/>
    <x v="6"/>
    <n v="10.09"/>
    <n v="4.37"/>
    <n v="21.67"/>
    <n v="11.81"/>
    <n v="19.47"/>
    <n v="16.66"/>
    <n v="1.71"/>
    <s v="Very High"/>
    <s v="High"/>
    <x v="0"/>
    <n v="18.402999999999999"/>
    <n v="14.234999999999999"/>
    <n v="10.59"/>
    <n v="94.269000000000005"/>
    <n v="59"/>
  </r>
  <r>
    <x v="99"/>
    <n v="5"/>
    <s v="Unlock"/>
    <x v="6"/>
    <n v="2.1"/>
    <n v="-4.21"/>
    <n v="17.739999999999998"/>
    <n v="8.6999999999999993"/>
    <n v="18.510000000000002"/>
    <n v="14.3"/>
    <n v="2.99"/>
    <s v="Very High"/>
    <s v="Above Avg."/>
    <x v="0"/>
    <n v="16.350999999999999"/>
    <n v="11.5"/>
    <n v="10.75"/>
    <n v="82.802999999999997"/>
    <n v="120"/>
  </r>
  <r>
    <x v="100"/>
    <n v="4"/>
    <s v="Unlock"/>
    <x v="6"/>
    <n v="5.61"/>
    <n v="-1.69"/>
    <n v="18.43"/>
    <n v="8.5399999999999991"/>
    <n v="16.43"/>
    <n v="13.63"/>
    <n v="2.6"/>
    <s v="Very High"/>
    <s v="Avg."/>
    <x v="0"/>
    <n v="15.587"/>
    <n v="11.085000000000001"/>
    <n v="9.5150000000000006"/>
    <n v="78.445999999999998"/>
    <n v="138"/>
  </r>
  <r>
    <x v="101"/>
    <n v="5"/>
    <s v="Unlock"/>
    <x v="6"/>
    <n v="18.63"/>
    <n v="14.41"/>
    <n v="30.67"/>
    <n v="18.850000000000001"/>
    <m/>
    <m/>
    <n v="1.3"/>
    <s v="Very High"/>
    <s v="High"/>
    <x v="0"/>
    <n v="12.268000000000001"/>
    <n v="9.4250000000000007"/>
    <n v="0.65"/>
    <n v="56.304000000000002"/>
    <n v="254"/>
  </r>
  <r>
    <x v="102"/>
    <n v="4"/>
    <s v="Unlock"/>
    <x v="6"/>
    <n v="3.74"/>
    <n v="-0.32"/>
    <n v="20.81"/>
    <n v="9.3000000000000007"/>
    <n v="18.079999999999998"/>
    <n v="14.56"/>
    <n v="2.3199999999999998"/>
    <s v="Very High"/>
    <s v="High"/>
    <x v="0"/>
    <n v="17.363999999999997"/>
    <n v="11.93"/>
    <n v="10.199999999999999"/>
    <n v="86.152000000000001"/>
    <n v="104"/>
  </r>
  <r>
    <x v="103"/>
    <n v="5"/>
    <s v="Unlock"/>
    <x v="6"/>
    <n v="0.88"/>
    <n v="-4.16"/>
    <n v="16.399999999999999"/>
    <n v="6.07"/>
    <n v="19.22"/>
    <n v="13.41"/>
    <n v="1.48"/>
    <s v="Very High"/>
    <s v="Above Avg."/>
    <x v="0"/>
    <n v="16.169999999999998"/>
    <n v="9.74"/>
    <n v="10.35"/>
    <n v="78.339999999999989"/>
    <n v="140"/>
  </r>
  <r>
    <x v="104"/>
    <n v="4"/>
    <s v="Unlock"/>
    <x v="7"/>
    <n v="3.14"/>
    <n v="-0.96"/>
    <n v="13.9"/>
    <n v="5.6"/>
    <n v="14.19"/>
    <n v="10.15"/>
    <n v="2.12"/>
    <s v="Very High"/>
    <s v="Avg."/>
    <x v="0"/>
    <n v="12.655000000000001"/>
    <n v="7.875"/>
    <n v="8.1549999999999994"/>
    <n v="61.870000000000005"/>
    <n v="228"/>
  </r>
  <r>
    <x v="105"/>
    <n v="4"/>
    <s v="Unlock"/>
    <x v="7"/>
    <n v="6.36"/>
    <n v="2.29"/>
    <n v="18.010000000000002"/>
    <n v="9.65"/>
    <n v="14.12"/>
    <n v="12.4"/>
    <n v="2.31"/>
    <s v="Very High"/>
    <s v="Above Avg."/>
    <x v="0"/>
    <n v="14.263999999999999"/>
    <n v="11.025"/>
    <n v="8.2149999999999999"/>
    <n v="73.057000000000002"/>
    <n v="176"/>
  </r>
  <r>
    <x v="106"/>
    <n v="4"/>
    <s v="Unlock"/>
    <x v="7"/>
    <n v="0.61"/>
    <n v="-4.0999999999999996"/>
    <n v="17.86"/>
    <n v="8.02"/>
    <n v="15.3"/>
    <n v="12.36"/>
    <n v="1.81"/>
    <s v="Very High"/>
    <s v="Above Avg."/>
    <x v="0"/>
    <n v="14.794"/>
    <n v="10.19"/>
    <n v="8.5549999999999997"/>
    <n v="73.317000000000007"/>
    <n v="174"/>
  </r>
  <r>
    <x v="107"/>
    <n v="4"/>
    <s v="Unlock"/>
    <x v="7"/>
    <n v="-2.77"/>
    <n v="-7.99"/>
    <n v="15.53"/>
    <n v="4.93"/>
    <n v="14.72"/>
    <n v="10.67"/>
    <n v="1.83"/>
    <s v="Very High"/>
    <s v="Avg."/>
    <x v="0"/>
    <n v="13.571999999999999"/>
    <n v="7.8"/>
    <n v="8.2750000000000004"/>
    <n v="64.590999999999994"/>
    <n v="208"/>
  </r>
  <r>
    <x v="108"/>
    <n v="5"/>
    <s v="Unlock"/>
    <x v="7"/>
    <n v="-2.14"/>
    <n v="-8.99"/>
    <n v="17.36"/>
    <n v="7"/>
    <n v="17.97"/>
    <n v="13.3"/>
    <n v="1.69"/>
    <s v="Very High"/>
    <s v="Above Avg."/>
    <x v="0"/>
    <n v="15.928999999999998"/>
    <n v="10.15"/>
    <n v="9.83"/>
    <n v="77.916999999999987"/>
    <n v="146"/>
  </r>
  <r>
    <x v="109"/>
    <n v="4"/>
    <s v="Unlock"/>
    <x v="7"/>
    <n v="6.74"/>
    <n v="0.87"/>
    <n v="18.21"/>
    <n v="9.58"/>
    <n v="14.59"/>
    <n v="13.03"/>
    <n v="2.06"/>
    <s v="Very High"/>
    <s v="Above Avg."/>
    <x v="0"/>
    <n v="14.579000000000001"/>
    <n v="11.305"/>
    <n v="8.3249999999999993"/>
    <n v="74.672000000000011"/>
    <n v="164"/>
  </r>
  <r>
    <x v="110"/>
    <n v="4"/>
    <s v="Unlock"/>
    <x v="7"/>
    <n v="4.49"/>
    <n v="-1.56"/>
    <n v="17.850000000000001"/>
    <n v="7.12"/>
    <n v="15.37"/>
    <n v="12.17"/>
    <n v="2.58"/>
    <s v="Very High"/>
    <s v="Above Avg."/>
    <x v="0"/>
    <n v="14.824999999999999"/>
    <n v="9.6449999999999996"/>
    <n v="8.9749999999999996"/>
    <n v="72.739999999999995"/>
    <n v="180"/>
  </r>
  <r>
    <x v="111"/>
    <n v="5"/>
    <s v="Unlock"/>
    <x v="7"/>
    <n v="15.5"/>
    <n v="13.38"/>
    <n v="24.83"/>
    <n v="15.29"/>
    <n v="19.41"/>
    <n v="18.43"/>
    <n v="1.99"/>
    <s v="Very High"/>
    <s v="High"/>
    <x v="0"/>
    <n v="19.637"/>
    <n v="16.86"/>
    <n v="10.7"/>
    <n v="103.331"/>
    <n v="43"/>
  </r>
  <r>
    <x v="112"/>
    <n v="4"/>
    <s v="Unlock"/>
    <x v="7"/>
    <n v="5.57"/>
    <n v="1.93"/>
    <n v="17.239999999999998"/>
    <n v="8.76"/>
    <n v="15.46"/>
    <n v="12.52"/>
    <n v="1.88"/>
    <s v="Very High"/>
    <s v="Above Avg."/>
    <x v="0"/>
    <n v="14.626000000000001"/>
    <n v="10.64"/>
    <n v="8.67"/>
    <n v="73.828000000000003"/>
    <n v="170"/>
  </r>
  <r>
    <x v="113"/>
    <n v="5"/>
    <s v="Unlock"/>
    <x v="7"/>
    <n v="-3.56"/>
    <n v="-9.66"/>
    <n v="12.72"/>
    <n v="4.3"/>
    <n v="14.65"/>
    <n v="9.91"/>
    <n v="1.79"/>
    <s v="Very High"/>
    <s v="Avg."/>
    <x v="0"/>
    <n v="12.413"/>
    <n v="7.1050000000000004"/>
    <n v="8.2200000000000006"/>
    <n v="59.669000000000004"/>
    <n v="242"/>
  </r>
  <r>
    <x v="114"/>
    <n v="4"/>
    <s v="Unlock"/>
    <x v="7"/>
    <n v="-3.15"/>
    <n v="-8.5399999999999991"/>
    <n v="14.05"/>
    <n v="4.1100000000000003"/>
    <n v="12.16"/>
    <n v="9.3000000000000007"/>
    <n v="2.1"/>
    <s v="Very High"/>
    <s v="Avg."/>
    <x v="0"/>
    <n v="11.700000000000001"/>
    <n v="6.7050000000000001"/>
    <n v="7.13"/>
    <n v="55.640000000000008"/>
    <n v="260"/>
  </r>
  <r>
    <x v="115"/>
    <n v="5"/>
    <s v="Unlock"/>
    <x v="7"/>
    <n v="2.2000000000000002"/>
    <n v="-2.81"/>
    <n v="20.64"/>
    <n v="8.86"/>
    <n v="18.489999999999998"/>
    <n v="15.28"/>
    <n v="1.62"/>
    <s v="Very High"/>
    <s v="High"/>
    <x v="0"/>
    <n v="17.500999999999998"/>
    <n v="12.07"/>
    <n v="10.055"/>
    <n v="86.698000000000008"/>
    <n v="95"/>
  </r>
  <r>
    <x v="116"/>
    <n v="5"/>
    <s v="Unlock"/>
    <x v="7"/>
    <n v="2.7"/>
    <n v="-3.52"/>
    <n v="18.48"/>
    <n v="8.5500000000000007"/>
    <m/>
    <m/>
    <n v="2.66"/>
    <s v="Very High"/>
    <s v="High"/>
    <x v="0"/>
    <n v="7.3920000000000003"/>
    <n v="4.2750000000000004"/>
    <n v="1.33"/>
    <n v="32.056000000000004"/>
    <n v="502"/>
  </r>
  <r>
    <x v="117"/>
    <n v="5"/>
    <s v="Unlock"/>
    <x v="8"/>
    <n v="8.19"/>
    <n v="2.93"/>
    <n v="19.11"/>
    <n v="12.64"/>
    <n v="15.98"/>
    <n v="15.19"/>
    <n v="2.0699999999999998"/>
    <s v="Very High"/>
    <s v="High"/>
    <x v="0"/>
    <n v="15.634"/>
    <n v="13.914999999999999"/>
    <n v="9.0250000000000004"/>
    <n v="83.757000000000005"/>
    <n v="114"/>
  </r>
  <r>
    <x v="118"/>
    <n v="4"/>
    <s v="Unlock"/>
    <x v="8"/>
    <n v="7.33"/>
    <n v="-1.24"/>
    <n v="19.38"/>
    <n v="10.02"/>
    <m/>
    <m/>
    <n v="1.31"/>
    <s v="Very High"/>
    <s v="High"/>
    <x v="0"/>
    <n v="7.7519999999999998"/>
    <n v="5.01"/>
    <n v="0.65500000000000003"/>
    <n v="33.930999999999997"/>
    <n v="434"/>
  </r>
  <r>
    <x v="119"/>
    <n v="4"/>
    <s v="Unlock"/>
    <x v="8"/>
    <n v="2.0499999999999998"/>
    <n v="-2.4700000000000002"/>
    <n v="15.47"/>
    <n v="8.75"/>
    <n v="16.440000000000001"/>
    <n v="12.83"/>
    <n v="1.79"/>
    <s v="Very High"/>
    <s v="Above Avg."/>
    <x v="0"/>
    <n v="14.408000000000001"/>
    <n v="10.79"/>
    <n v="9.1150000000000002"/>
    <n v="73.918999999999997"/>
    <n v="168"/>
  </r>
  <r>
    <x v="120"/>
    <n v="4"/>
    <s v="Unlock"/>
    <x v="8"/>
    <n v="5.93"/>
    <n v="-1.51"/>
    <n v="17.559999999999999"/>
    <n v="11.94"/>
    <n v="14.01"/>
    <n v="13.86"/>
    <n v="2.02"/>
    <s v="Very High"/>
    <s v="Above Avg."/>
    <x v="0"/>
    <n v="14.029"/>
    <n v="12.899999999999999"/>
    <n v="8.0150000000000006"/>
    <n v="75.902000000000001"/>
    <n v="154"/>
  </r>
  <r>
    <x v="121"/>
    <n v="4"/>
    <s v="Unlock"/>
    <x v="8"/>
    <n v="2.25"/>
    <n v="-0.5"/>
    <n v="15.66"/>
    <n v="8.2799999999999994"/>
    <n v="14.74"/>
    <n v="12.85"/>
    <n v="2.08"/>
    <s v="Very High"/>
    <s v="Above Avg."/>
    <x v="0"/>
    <n v="13.634"/>
    <n v="10.565"/>
    <n v="8.41"/>
    <n v="70.441999999999993"/>
    <n v="190"/>
  </r>
  <r>
    <x v="122"/>
    <n v="5"/>
    <s v="Unlock"/>
    <x v="9"/>
    <n v="7.1"/>
    <n v="5.38"/>
    <n v="27.02"/>
    <n v="15.8"/>
    <n v="16.23"/>
    <n v="18.239999999999998"/>
    <n v="2.08"/>
    <s v="Very High"/>
    <s v="High"/>
    <x v="0"/>
    <n v="18.923000000000002"/>
    <n v="17.02"/>
    <n v="9.1550000000000011"/>
    <n v="99.963999999999999"/>
    <n v="51"/>
  </r>
  <r>
    <x v="123"/>
    <n v="4"/>
    <s v="Unlock"/>
    <x v="9"/>
    <n v="4.5599999999999996"/>
    <n v="6.72"/>
    <n v="24.83"/>
    <n v="14.42"/>
    <n v="15.56"/>
    <n v="17.309999999999999"/>
    <n v="1.9"/>
    <s v="Very High"/>
    <s v="Above Avg."/>
    <x v="0"/>
    <n v="17.712"/>
    <n v="15.864999999999998"/>
    <n v="8.73"/>
    <n v="93.595999999999989"/>
    <n v="67"/>
  </r>
  <r>
    <x v="124"/>
    <n v="4"/>
    <s v="Unlock"/>
    <x v="9"/>
    <n v="8.33"/>
    <n v="6.92"/>
    <n v="24.87"/>
    <n v="14.86"/>
    <n v="13.99"/>
    <n v="16.38"/>
    <n v="2.2999999999999998"/>
    <s v="Very High"/>
    <s v="Avg."/>
    <x v="0"/>
    <n v="16.943000000000001"/>
    <n v="15.62"/>
    <n v="8.1449999999999996"/>
    <n v="90.213999999999999"/>
    <n v="81"/>
  </r>
  <r>
    <x v="125"/>
    <n v="4"/>
    <s v="Unlock"/>
    <x v="10"/>
    <n v="-3.31"/>
    <n v="-7.98"/>
    <n v="13.23"/>
    <n v="3.2"/>
    <n v="12.93"/>
    <n v="8.77"/>
    <n v="2.16"/>
    <s v="Very High"/>
    <s v="Avg."/>
    <x v="0"/>
    <n v="11.757000000000001"/>
    <n v="5.9849999999999994"/>
    <n v="7.5449999999999999"/>
    <n v="54.786000000000001"/>
    <n v="269"/>
  </r>
  <r>
    <x v="126"/>
    <n v="5"/>
    <s v="Unlock"/>
    <x v="10"/>
    <n v="-0.17"/>
    <n v="-5.69"/>
    <n v="14"/>
    <n v="4.08"/>
    <n v="14.95"/>
    <n v="10.32"/>
    <n v="2.25"/>
    <s v="Very High"/>
    <s v="Above Avg."/>
    <x v="0"/>
    <n v="13.074999999999999"/>
    <n v="7.2"/>
    <n v="8.6"/>
    <n v="62.224999999999994"/>
    <n v="224"/>
  </r>
  <r>
    <x v="127"/>
    <n v="4"/>
    <s v="Unlock"/>
    <x v="10"/>
    <n v="-0.06"/>
    <n v="-6.54"/>
    <n v="13.8"/>
    <n v="3.92"/>
    <n v="14.55"/>
    <n v="9.9600000000000009"/>
    <n v="1.91"/>
    <s v="Very High"/>
    <s v="Above Avg."/>
    <x v="0"/>
    <n v="12.795000000000002"/>
    <n v="6.94"/>
    <n v="8.23"/>
    <n v="60.495000000000005"/>
    <n v="238"/>
  </r>
  <r>
    <x v="128"/>
    <n v="4"/>
    <s v="Unlock"/>
    <x v="10"/>
    <n v="-4.71"/>
    <n v="-8.57"/>
    <n v="13.47"/>
    <n v="2.91"/>
    <n v="15.63"/>
    <n v="9.64"/>
    <n v="1.98"/>
    <s v="Very High"/>
    <s v="Above Avg."/>
    <x v="0"/>
    <n v="13.203000000000001"/>
    <n v="6.2750000000000004"/>
    <n v="8.8049999999999997"/>
    <n v="60.964000000000006"/>
    <n v="234"/>
  </r>
  <r>
    <x v="129"/>
    <n v="4"/>
    <s v="Unlock"/>
    <x v="10"/>
    <n v="4.07"/>
    <n v="1.1499999999999999"/>
    <n v="17.14"/>
    <n v="7.67"/>
    <n v="15.35"/>
    <n v="12.16"/>
    <n v="2.0099999999999998"/>
    <s v="Very High"/>
    <s v="High"/>
    <x v="0"/>
    <n v="14.531000000000001"/>
    <n v="9.9149999999999991"/>
    <n v="8.68"/>
    <n v="72.103000000000009"/>
    <n v="184"/>
  </r>
  <r>
    <x v="130"/>
    <n v="4"/>
    <s v="Unlock"/>
    <x v="11"/>
    <n v="23.44"/>
    <n v="20.97"/>
    <n v="25.7"/>
    <n v="17.38"/>
    <n v="22.68"/>
    <n v="20.72"/>
    <n v="2.39"/>
    <s v="Very High"/>
    <s v="Avg."/>
    <x v="0"/>
    <n v="21.62"/>
    <n v="19.049999999999997"/>
    <n v="12.535"/>
    <n v="115.49499999999999"/>
    <n v="21"/>
  </r>
  <r>
    <x v="131"/>
    <n v="4"/>
    <s v="Unlock"/>
    <x v="11"/>
    <n v="16.11"/>
    <n v="15.05"/>
    <n v="26.29"/>
    <n v="16.829999999999998"/>
    <n v="24.72"/>
    <n v="21.12"/>
    <n v="2.25"/>
    <s v="Very High"/>
    <s v="Above Avg."/>
    <x v="0"/>
    <n v="22.875999999999998"/>
    <n v="18.975000000000001"/>
    <n v="13.484999999999999"/>
    <n v="120.06299999999999"/>
    <n v="15"/>
  </r>
  <r>
    <x v="132"/>
    <n v="4"/>
    <s v="Unlock"/>
    <x v="11"/>
    <n v="19.45"/>
    <n v="20.76"/>
    <n v="27.15"/>
    <n v="16.399999999999999"/>
    <n v="25.42"/>
    <n v="21.86"/>
    <n v="1.99"/>
    <s v="Very High"/>
    <s v="Above Avg."/>
    <x v="0"/>
    <n v="23.57"/>
    <n v="19.13"/>
    <n v="13.705"/>
    <n v="122.675"/>
    <n v="11"/>
  </r>
  <r>
    <x v="133"/>
    <n v="5"/>
    <s v="Unlock"/>
    <x v="11"/>
    <n v="11.36"/>
    <n v="8.8000000000000007"/>
    <n v="26.12"/>
    <n v="13.92"/>
    <n v="24.3"/>
    <n v="20.43"/>
    <n v="2.04"/>
    <s v="Very High"/>
    <s v="Above Avg."/>
    <x v="0"/>
    <n v="22.597999999999999"/>
    <n v="17.175000000000001"/>
    <n v="13.17"/>
    <n v="115.31400000000001"/>
    <n v="23"/>
  </r>
  <r>
    <x v="134"/>
    <n v="4"/>
    <s v="Unlock"/>
    <x v="11"/>
    <n v="6.44"/>
    <n v="2.1800000000000002"/>
    <n v="24.76"/>
    <n v="10.36"/>
    <n v="24.58"/>
    <n v="19.350000000000001"/>
    <n v="2.5299999999999998"/>
    <s v="Very High"/>
    <s v="Above Avg."/>
    <x v="0"/>
    <n v="22.194000000000003"/>
    <n v="14.855"/>
    <n v="13.555"/>
    <n v="109.84700000000001"/>
    <n v="29"/>
  </r>
  <r>
    <x v="135"/>
    <n v="5"/>
    <s v="Unlock"/>
    <x v="11"/>
    <n v="11.11"/>
    <n v="7.66"/>
    <n v="23.91"/>
    <n v="13.56"/>
    <n v="26.64"/>
    <n v="21.29"/>
    <n v="2.34"/>
    <s v="Very High"/>
    <s v="Above Avg."/>
    <x v="0"/>
    <n v="22.884"/>
    <n v="17.425000000000001"/>
    <n v="14.49"/>
    <n v="117.992"/>
    <n v="19"/>
  </r>
  <r>
    <x v="136"/>
    <n v="4"/>
    <s v="Unlock"/>
    <x v="11"/>
    <n v="18.920000000000002"/>
    <n v="12.81"/>
    <n v="28.67"/>
    <n v="17.010000000000002"/>
    <n v="24.94"/>
    <n v="21.79"/>
    <n v="2.1800000000000002"/>
    <s v="Very High"/>
    <s v="High"/>
    <x v="0"/>
    <n v="23.938000000000002"/>
    <n v="19.399999999999999"/>
    <n v="13.56"/>
    <n v="124.17400000000001"/>
    <n v="9"/>
  </r>
  <r>
    <x v="137"/>
    <n v="4"/>
    <s v="Unlock"/>
    <x v="12"/>
    <n v="2.38"/>
    <n v="2.2599999999999998"/>
    <n v="6.72"/>
    <n v="5.85"/>
    <n v="5.73"/>
    <n v="6.21"/>
    <n v="0.95"/>
    <s v="Moderate"/>
    <s v="High"/>
    <x v="0"/>
    <n v="5.5530000000000008"/>
    <n v="6.0299999999999994"/>
    <n v="3.3400000000000003"/>
    <n v="32.059000000000005"/>
    <n v="500"/>
  </r>
  <r>
    <x v="138"/>
    <n v="4"/>
    <s v="Unlock"/>
    <x v="12"/>
    <n v="1.97"/>
    <n v="1.37"/>
    <n v="6.04"/>
    <n v="5.32"/>
    <n v="4.8099999999999996"/>
    <n v="5.45"/>
    <n v="1.24"/>
    <s v="Moderate"/>
    <s v="Above Avg."/>
    <x v="0"/>
    <n v="4.8209999999999997"/>
    <n v="5.3849999999999998"/>
    <n v="3.0249999999999999"/>
    <n v="28.257999999999996"/>
    <n v="550"/>
  </r>
  <r>
    <x v="139"/>
    <n v="4"/>
    <s v="Unlock"/>
    <x v="12"/>
    <n v="1.99"/>
    <n v="1.92"/>
    <n v="6.21"/>
    <n v="5.53"/>
    <n v="5.22"/>
    <n v="5.84"/>
    <n v="0.61"/>
    <s v="Moderate"/>
    <s v="Above Avg."/>
    <x v="0"/>
    <n v="5.0939999999999994"/>
    <n v="5.6850000000000005"/>
    <n v="2.915"/>
    <n v="29.567"/>
    <n v="544"/>
  </r>
  <r>
    <x v="140"/>
    <n v="4"/>
    <s v="Unlock"/>
    <x v="13"/>
    <n v="3.99"/>
    <n v="3.07"/>
    <n v="6.75"/>
    <n v="6.28"/>
    <n v="5.74"/>
    <n v="6.3"/>
    <n v="0.77"/>
    <s v="Moderate"/>
    <s v="Above Avg."/>
    <x v="0"/>
    <n v="5.57"/>
    <n v="6.29"/>
    <n v="3.2549999999999999"/>
    <n v="32.545000000000002"/>
    <n v="486"/>
  </r>
  <r>
    <x v="141"/>
    <n v="5"/>
    <s v="Unlock"/>
    <x v="14"/>
    <n v="5.31"/>
    <n v="4.5199999999999996"/>
    <n v="7.07"/>
    <n v="6.88"/>
    <n v="6.04"/>
    <n v="6.69"/>
    <n v="0.91"/>
    <s v="Moderate"/>
    <s v="High"/>
    <x v="0"/>
    <n v="5.8480000000000008"/>
    <n v="6.7850000000000001"/>
    <n v="3.4750000000000001"/>
    <n v="34.589000000000006"/>
    <n v="407"/>
  </r>
  <r>
    <x v="142"/>
    <n v="4"/>
    <s v="Unlock"/>
    <x v="14"/>
    <n v="4.97"/>
    <n v="4.45"/>
    <n v="6.93"/>
    <n v="6.68"/>
    <n v="5.75"/>
    <n v="6.47"/>
    <n v="0.82"/>
    <s v="Moderate"/>
    <s v="Above Avg."/>
    <x v="0"/>
    <n v="5.6470000000000002"/>
    <n v="6.5749999999999993"/>
    <n v="3.2850000000000001"/>
    <n v="33.376000000000005"/>
    <n v="474"/>
  </r>
  <r>
    <x v="143"/>
    <n v="5"/>
    <s v="Unlock"/>
    <x v="14"/>
    <n v="4.75"/>
    <n v="4.09"/>
    <n v="6.75"/>
    <n v="6.46"/>
    <m/>
    <m/>
    <n v="0.56000000000000005"/>
    <s v="Low to Moderate"/>
    <s v="High"/>
    <x v="0"/>
    <n v="2.7"/>
    <n v="3.23"/>
    <n v="0.28000000000000003"/>
    <n v="14.840000000000002"/>
    <n v="579"/>
  </r>
  <r>
    <x v="144"/>
    <n v="5"/>
    <s v="Unlock"/>
    <x v="14"/>
    <n v="5.17"/>
    <n v="4.3"/>
    <n v="7.2"/>
    <n v="6.8"/>
    <n v="6.15"/>
    <n v="6.72"/>
    <n v="0.71"/>
    <s v="Moderate"/>
    <s v="Above Avg."/>
    <x v="0"/>
    <n v="5.9550000000000001"/>
    <n v="6.76"/>
    <n v="3.43"/>
    <n v="34.815000000000005"/>
    <n v="401"/>
  </r>
  <r>
    <x v="145"/>
    <n v="4"/>
    <s v="Unlock"/>
    <x v="14"/>
    <n v="4.84"/>
    <n v="3.93"/>
    <n v="6.73"/>
    <n v="6.46"/>
    <n v="5.54"/>
    <n v="6.25"/>
    <n v="0.74"/>
    <s v="Moderate"/>
    <s v="Above Avg."/>
    <x v="0"/>
    <n v="5.4619999999999997"/>
    <n v="6.3550000000000004"/>
    <n v="3.14"/>
    <n v="32.235999999999997"/>
    <n v="496"/>
  </r>
  <r>
    <x v="146"/>
    <n v="5"/>
    <s v="Unlock"/>
    <x v="14"/>
    <n v="5.47"/>
    <n v="4.75"/>
    <n v="7.23"/>
    <n v="6.87"/>
    <n v="6.37"/>
    <n v="6.87"/>
    <n v="1.04"/>
    <s v="Moderate"/>
    <s v="Above Avg."/>
    <x v="0"/>
    <n v="6.077"/>
    <n v="6.87"/>
    <n v="3.7050000000000001"/>
    <n v="35.676000000000002"/>
    <n v="371"/>
  </r>
  <r>
    <x v="147"/>
    <n v="4"/>
    <s v="Unlock"/>
    <x v="14"/>
    <n v="4.9800000000000004"/>
    <n v="4.03"/>
    <n v="7.01"/>
    <n v="6.68"/>
    <n v="5.97"/>
    <n v="6.53"/>
    <n v="0.94"/>
    <s v="Moderate"/>
    <s v="Above Avg."/>
    <x v="0"/>
    <n v="5.7889999999999997"/>
    <n v="6.6050000000000004"/>
    <n v="3.4550000000000001"/>
    <n v="34.031999999999996"/>
    <n v="422"/>
  </r>
  <r>
    <x v="148"/>
    <n v="4"/>
    <s v="Unlock"/>
    <x v="14"/>
    <n v="4.83"/>
    <n v="3.85"/>
    <n v="6.81"/>
    <n v="6.48"/>
    <n v="5.79"/>
    <n v="6.38"/>
    <n v="0.86"/>
    <s v="Moderate"/>
    <s v="Avg."/>
    <x v="0"/>
    <n v="5.6189999999999998"/>
    <n v="6.43"/>
    <n v="3.3250000000000002"/>
    <n v="33.042000000000002"/>
    <n v="480"/>
  </r>
  <r>
    <x v="149"/>
    <n v="4"/>
    <s v="Unlock"/>
    <x v="14"/>
    <n v="4.8"/>
    <n v="4.1900000000000004"/>
    <n v="6.81"/>
    <n v="6.49"/>
    <n v="7.2"/>
    <n v="6.42"/>
    <n v="0.8"/>
    <s v="Low to Moderate"/>
    <s v="Above Avg."/>
    <x v="0"/>
    <n v="6.3239999999999998"/>
    <n v="6.4550000000000001"/>
    <n v="4"/>
    <n v="35.882000000000005"/>
    <n v="355"/>
  </r>
  <r>
    <x v="150"/>
    <n v="5"/>
    <s v="Unlock"/>
    <x v="15"/>
    <n v="6.17"/>
    <n v="5.68"/>
    <n v="7.11"/>
    <n v="6.94"/>
    <n v="6.13"/>
    <n v="6.75"/>
    <n v="0.71"/>
    <s v="Moderate"/>
    <s v="High"/>
    <x v="0"/>
    <n v="5.9090000000000007"/>
    <n v="6.8450000000000006"/>
    <n v="3.42"/>
    <n v="34.837000000000003"/>
    <n v="399"/>
  </r>
  <r>
    <x v="151"/>
    <n v="4"/>
    <s v="Unlock"/>
    <x v="15"/>
    <n v="5.83"/>
    <n v="5.38"/>
    <n v="6.84"/>
    <n v="6.64"/>
    <n v="5.86"/>
    <n v="6.49"/>
    <n v="0.67"/>
    <s v="Low to Moderate"/>
    <s v="Avg."/>
    <x v="0"/>
    <n v="5.6660000000000004"/>
    <n v="6.5649999999999995"/>
    <n v="3.2650000000000001"/>
    <n v="33.393000000000001"/>
    <n v="470"/>
  </r>
  <r>
    <x v="152"/>
    <n v="4"/>
    <s v="Unlock"/>
    <x v="15"/>
    <n v="6.02"/>
    <n v="5.58"/>
    <n v="6.94"/>
    <n v="6.74"/>
    <n v="5.88"/>
    <n v="6.55"/>
    <n v="0.48"/>
    <s v="Low to Moderate"/>
    <s v="Above Avg."/>
    <x v="0"/>
    <n v="5.7160000000000002"/>
    <n v="6.6449999999999996"/>
    <n v="3.1799999999999997"/>
    <n v="33.617999999999995"/>
    <n v="460"/>
  </r>
  <r>
    <x v="153"/>
    <n v="5"/>
    <s v="Unlock"/>
    <x v="15"/>
    <n v="6.42"/>
    <n v="5.9"/>
    <n v="7.47"/>
    <n v="7.18"/>
    <n v="6.48"/>
    <n v="7.05"/>
    <n v="0.57999999999999996"/>
    <s v="Low to Moderate"/>
    <s v="High"/>
    <x v="0"/>
    <n v="6.2279999999999998"/>
    <n v="7.1150000000000002"/>
    <n v="3.5300000000000002"/>
    <n v="36.444000000000003"/>
    <n v="347"/>
  </r>
  <r>
    <x v="154"/>
    <n v="4"/>
    <s v="Unlock"/>
    <x v="15"/>
    <n v="5.95"/>
    <n v="5.48"/>
    <n v="6.94"/>
    <n v="6.73"/>
    <n v="5.88"/>
    <n v="6.54"/>
    <n v="0.74"/>
    <s v="Low to Moderate"/>
    <s v="Above Avg."/>
    <x v="0"/>
    <n v="5.7160000000000002"/>
    <n v="6.6349999999999998"/>
    <n v="3.31"/>
    <n v="33.728000000000002"/>
    <n v="452"/>
  </r>
  <r>
    <x v="155"/>
    <n v="4"/>
    <s v="Unlock"/>
    <x v="15"/>
    <n v="5.89"/>
    <n v="5.48"/>
    <n v="6.88"/>
    <n v="6.69"/>
    <n v="5.91"/>
    <n v="6.52"/>
    <n v="0.6"/>
    <s v="Low to Moderate"/>
    <s v="Above Avg."/>
    <x v="0"/>
    <n v="5.7070000000000007"/>
    <n v="6.6050000000000004"/>
    <n v="3.2549999999999999"/>
    <n v="33.586000000000006"/>
    <n v="462"/>
  </r>
  <r>
    <x v="156"/>
    <n v="4"/>
    <s v="Unlock"/>
    <x v="15"/>
    <n v="6.21"/>
    <n v="5.75"/>
    <n v="7.17"/>
    <n v="6.99"/>
    <n v="7.24"/>
    <n v="7"/>
    <n v="0.42"/>
    <s v="Moderate"/>
    <s v="Above Avg."/>
    <x v="0"/>
    <n v="6.4880000000000004"/>
    <n v="6.9950000000000001"/>
    <n v="3.83"/>
    <n v="37.283999999999999"/>
    <n v="337"/>
  </r>
  <r>
    <x v="157"/>
    <n v="4"/>
    <s v="Unlock"/>
    <x v="16"/>
    <n v="6.45"/>
    <n v="6.11"/>
    <n v="7.29"/>
    <n v="7.1"/>
    <n v="6.32"/>
    <n v="6.92"/>
    <n v="0.57999999999999996"/>
    <s v="Moderate"/>
    <s v="High"/>
    <x v="0"/>
    <n v="6.0760000000000005"/>
    <n v="7.01"/>
    <n v="3.45"/>
    <n v="35.698000000000008"/>
    <n v="365"/>
  </r>
  <r>
    <x v="158"/>
    <n v="4"/>
    <s v="Unlock"/>
    <x v="16"/>
    <n v="6.23"/>
    <n v="6.07"/>
    <n v="6.97"/>
    <n v="6.8"/>
    <n v="5.98"/>
    <n v="6.62"/>
    <n v="0.47"/>
    <s v="Low to Moderate"/>
    <s v="Above Avg."/>
    <x v="0"/>
    <n v="5.7780000000000005"/>
    <n v="6.71"/>
    <n v="3.2250000000000001"/>
    <n v="33.979000000000006"/>
    <n v="430"/>
  </r>
  <r>
    <x v="159"/>
    <n v="5"/>
    <s v="Unlock"/>
    <x v="16"/>
    <n v="6.3"/>
    <n v="6.13"/>
    <n v="7.06"/>
    <n v="6.87"/>
    <n v="6.19"/>
    <n v="6.76"/>
    <n v="0.43"/>
    <s v="Low to Moderate"/>
    <s v="Above Avg."/>
    <x v="0"/>
    <n v="5.9190000000000005"/>
    <n v="6.8149999999999995"/>
    <n v="3.31"/>
    <n v="34.697000000000003"/>
    <n v="405"/>
  </r>
  <r>
    <x v="160"/>
    <n v="4"/>
    <s v="Unlock"/>
    <x v="16"/>
    <n v="6.28"/>
    <n v="6.14"/>
    <n v="6.99"/>
    <n v="6.84"/>
    <n v="6.02"/>
    <n v="6.66"/>
    <n v="0.42"/>
    <s v="Low to Moderate"/>
    <s v="Above Avg."/>
    <x v="0"/>
    <n v="5.806"/>
    <n v="6.75"/>
    <n v="3.2199999999999998"/>
    <n v="34.137999999999998"/>
    <n v="418"/>
  </r>
  <r>
    <x v="161"/>
    <n v="4"/>
    <s v="Unlock"/>
    <x v="16"/>
    <n v="6.33"/>
    <n v="6.04"/>
    <n v="7"/>
    <n v="6.85"/>
    <n v="6.1"/>
    <n v="6.67"/>
    <n v="0.77"/>
    <s v="Moderate"/>
    <s v="Above Avg."/>
    <x v="0"/>
    <n v="5.85"/>
    <n v="6.76"/>
    <n v="3.4349999999999996"/>
    <n v="34.504999999999995"/>
    <n v="409"/>
  </r>
  <r>
    <x v="162"/>
    <n v="4"/>
    <s v="Unlock"/>
    <x v="16"/>
    <n v="6.06"/>
    <n v="5.91"/>
    <n v="6.85"/>
    <n v="6.7"/>
    <n v="5.78"/>
    <n v="6.47"/>
    <n v="0.83"/>
    <s v="Moderate"/>
    <s v="Avg."/>
    <x v="0"/>
    <n v="5.6300000000000008"/>
    <n v="6.585"/>
    <n v="3.3050000000000002"/>
    <n v="33.365000000000002"/>
    <n v="476"/>
  </r>
  <r>
    <x v="163"/>
    <n v="5"/>
    <s v="Unlock"/>
    <x v="16"/>
    <n v="6.36"/>
    <n v="6.13"/>
    <n v="7.16"/>
    <n v="6.97"/>
    <n v="6.17"/>
    <n v="6.79"/>
    <n v="0.51"/>
    <s v="Low to Moderate"/>
    <s v="High"/>
    <x v="0"/>
    <n v="5.9489999999999998"/>
    <n v="6.88"/>
    <n v="3.34"/>
    <n v="34.947000000000003"/>
    <n v="395"/>
  </r>
  <r>
    <x v="164"/>
    <n v="5"/>
    <s v="Unlock"/>
    <x v="16"/>
    <n v="6.19"/>
    <n v="5.97"/>
    <n v="6.96"/>
    <n v="6.78"/>
    <n v="5.98"/>
    <n v="6.61"/>
    <n v="0.56000000000000005"/>
    <s v="Moderate"/>
    <s v="Above Avg."/>
    <x v="0"/>
    <n v="5.7740000000000009"/>
    <n v="6.6950000000000003"/>
    <n v="3.2700000000000005"/>
    <n v="33.982000000000006"/>
    <n v="428"/>
  </r>
  <r>
    <x v="165"/>
    <n v="4"/>
    <s v="Unlock"/>
    <x v="17"/>
    <n v="6.22"/>
    <n v="6.35"/>
    <n v="6.91"/>
    <n v="6.74"/>
    <n v="6.02"/>
    <n v="6.6"/>
    <n v="0.35"/>
    <s v="Moderate"/>
    <s v="Above Avg."/>
    <x v="0"/>
    <n v="5.774"/>
    <n v="6.67"/>
    <n v="3.1849999999999996"/>
    <n v="33.847000000000001"/>
    <n v="442"/>
  </r>
  <r>
    <x v="166"/>
    <n v="4"/>
    <s v="Unlock"/>
    <x v="17"/>
    <n v="6.26"/>
    <n v="6.39"/>
    <n v="6.95"/>
    <n v="6.78"/>
    <n v="6.05"/>
    <n v="6.64"/>
    <n v="0.21"/>
    <s v="Moderate"/>
    <s v="Above Avg."/>
    <x v="0"/>
    <n v="5.8049999999999997"/>
    <n v="6.71"/>
    <n v="3.13"/>
    <n v="33.965000000000003"/>
    <n v="432"/>
  </r>
  <r>
    <x v="167"/>
    <n v="5"/>
    <s v="Unlock"/>
    <x v="17"/>
    <n v="6.26"/>
    <n v="6.36"/>
    <n v="6.98"/>
    <n v="6.79"/>
    <n v="6.06"/>
    <n v="6.65"/>
    <n v="0.14000000000000001"/>
    <s v="Low to Moderate"/>
    <s v="High"/>
    <x v="0"/>
    <n v="5.8220000000000001"/>
    <n v="6.7200000000000006"/>
    <n v="3.0999999999999996"/>
    <n v="34.006"/>
    <n v="424"/>
  </r>
  <r>
    <x v="168"/>
    <n v="4"/>
    <s v="Unlock"/>
    <x v="17"/>
    <n v="6.24"/>
    <n v="6.37"/>
    <n v="6.92"/>
    <n v="6.76"/>
    <n v="6"/>
    <n v="6.6"/>
    <n v="0.21"/>
    <s v="Low to Moderate"/>
    <s v="Above Avg."/>
    <x v="0"/>
    <n v="5.7680000000000007"/>
    <n v="6.68"/>
    <n v="3.105"/>
    <n v="33.768999999999998"/>
    <n v="450"/>
  </r>
  <r>
    <x v="169"/>
    <n v="5"/>
    <s v="Unlock"/>
    <x v="17"/>
    <n v="6.26"/>
    <n v="6.37"/>
    <n v="6.89"/>
    <n v="6.75"/>
    <n v="5.94"/>
    <n v="6.56"/>
    <n v="0.19"/>
    <s v="Low to Moderate"/>
    <s v="High"/>
    <x v="0"/>
    <n v="5.7260000000000009"/>
    <n v="6.6549999999999994"/>
    <n v="3.0650000000000004"/>
    <n v="33.553000000000004"/>
    <n v="466"/>
  </r>
  <r>
    <x v="170"/>
    <n v="4"/>
    <s v="Unlock"/>
    <x v="17"/>
    <n v="6.24"/>
    <n v="6.32"/>
    <n v="6.94"/>
    <n v="6.77"/>
    <n v="6.02"/>
    <n v="6.62"/>
    <n v="0.2"/>
    <s v="Low to Moderate"/>
    <s v="High"/>
    <x v="0"/>
    <n v="5.7859999999999996"/>
    <n v="6.6950000000000003"/>
    <n v="3.11"/>
    <n v="33.857999999999997"/>
    <n v="440"/>
  </r>
  <r>
    <x v="171"/>
    <n v="4"/>
    <s v="Unlock"/>
    <x v="17"/>
    <n v="6.2"/>
    <n v="6.3"/>
    <n v="6.89"/>
    <n v="6.74"/>
    <n v="5.87"/>
    <n v="6.53"/>
    <n v="0.2"/>
    <s v="Low to Moderate"/>
    <s v="Above Avg."/>
    <x v="0"/>
    <n v="5.6910000000000007"/>
    <n v="6.6349999999999998"/>
    <n v="3.0350000000000001"/>
    <n v="33.378"/>
    <n v="472"/>
  </r>
  <r>
    <x v="172"/>
    <n v="5"/>
    <s v="Unlock"/>
    <x v="17"/>
    <n v="6.22"/>
    <n v="6.33"/>
    <n v="6.92"/>
    <n v="6.74"/>
    <n v="6.01"/>
    <n v="6.59"/>
    <n v="0.24"/>
    <s v="Low to Moderate"/>
    <s v="High"/>
    <x v="0"/>
    <n v="5.7729999999999997"/>
    <n v="6.665"/>
    <n v="3.125"/>
    <n v="33.774000000000001"/>
    <n v="446"/>
  </r>
  <r>
    <x v="173"/>
    <n v="4"/>
    <s v="Unlock"/>
    <x v="17"/>
    <n v="6.21"/>
    <n v="6.32"/>
    <n v="6.91"/>
    <n v="6.73"/>
    <n v="6.02"/>
    <n v="6.6"/>
    <n v="0.26"/>
    <s v="Moderate"/>
    <s v="Above Avg."/>
    <x v="0"/>
    <n v="5.774"/>
    <n v="6.665"/>
    <n v="3.1399999999999997"/>
    <n v="33.792000000000002"/>
    <n v="444"/>
  </r>
  <r>
    <x v="174"/>
    <n v="4"/>
    <s v="Unlock"/>
    <x v="17"/>
    <n v="6.17"/>
    <n v="6.26"/>
    <n v="6.89"/>
    <n v="6.7"/>
    <n v="6"/>
    <n v="6.57"/>
    <n v="0.21"/>
    <s v="Low to Moderate"/>
    <s v="Above Avg."/>
    <x v="0"/>
    <n v="5.7560000000000002"/>
    <n v="6.6349999999999998"/>
    <n v="3.105"/>
    <n v="33.643000000000001"/>
    <n v="458"/>
  </r>
  <r>
    <x v="175"/>
    <n v="4"/>
    <s v="Unlock"/>
    <x v="17"/>
    <n v="6.2"/>
    <n v="6.33"/>
    <n v="6.9"/>
    <n v="6.73"/>
    <n v="6"/>
    <n v="6.58"/>
    <n v="0.22"/>
    <s v="Low to Moderate"/>
    <s v="Above Avg."/>
    <x v="0"/>
    <n v="5.76"/>
    <n v="6.6550000000000002"/>
    <n v="3.11"/>
    <n v="33.700000000000003"/>
    <n v="454"/>
  </r>
  <r>
    <x v="176"/>
    <n v="4"/>
    <s v="Unlock"/>
    <x v="17"/>
    <n v="6.2"/>
    <n v="6.3"/>
    <n v="6.89"/>
    <n v="6.72"/>
    <n v="5.97"/>
    <n v="6.57"/>
    <n v="0.33"/>
    <s v="Low to Moderate"/>
    <s v="Above Avg."/>
    <x v="0"/>
    <n v="5.7409999999999997"/>
    <n v="6.6449999999999996"/>
    <n v="3.15"/>
    <n v="33.662999999999997"/>
    <n v="456"/>
  </r>
  <r>
    <x v="177"/>
    <n v="4"/>
    <s v="Unlock"/>
    <x v="17"/>
    <n v="6.21"/>
    <n v="6.33"/>
    <n v="6.92"/>
    <n v="6.74"/>
    <n v="6.02"/>
    <n v="6.6"/>
    <n v="0.17"/>
    <s v="Low to Moderate"/>
    <s v="Above Avg."/>
    <x v="0"/>
    <n v="5.7780000000000005"/>
    <n v="6.67"/>
    <n v="3.0949999999999998"/>
    <n v="33.769000000000005"/>
    <n v="448"/>
  </r>
  <r>
    <x v="178"/>
    <n v="4"/>
    <s v="Unlock"/>
    <x v="18"/>
    <n v="6.3"/>
    <n v="5.98"/>
    <n v="7.28"/>
    <n v="7.04"/>
    <n v="6.35"/>
    <n v="6.93"/>
    <n v="0.37"/>
    <s v="Moderate"/>
    <s v="Avg."/>
    <x v="0"/>
    <n v="6.0869999999999997"/>
    <n v="6.9849999999999994"/>
    <n v="3.36"/>
    <n v="35.590999999999994"/>
    <n v="375"/>
  </r>
  <r>
    <x v="179"/>
    <n v="5"/>
    <s v="Unlock"/>
    <x v="18"/>
    <n v="6.34"/>
    <n v="6.05"/>
    <n v="7.28"/>
    <n v="7.08"/>
    <n v="6.32"/>
    <n v="6.94"/>
    <n v="0.34"/>
    <s v="Low to Moderate"/>
    <s v="High"/>
    <x v="0"/>
    <n v="6.072000000000001"/>
    <n v="7.01"/>
    <n v="3.33"/>
    <n v="35.566000000000003"/>
    <n v="379"/>
  </r>
  <r>
    <x v="180"/>
    <n v="4"/>
    <s v="Unlock"/>
    <x v="18"/>
    <n v="6.31"/>
    <n v="6.04"/>
    <n v="6.91"/>
    <n v="6.87"/>
    <n v="5.79"/>
    <n v="6.56"/>
    <n v="0.35"/>
    <s v="Low to Moderate"/>
    <s v="Avg."/>
    <x v="0"/>
    <n v="5.6590000000000007"/>
    <n v="6.7149999999999999"/>
    <n v="3.07"/>
    <n v="33.477000000000004"/>
    <n v="468"/>
  </r>
  <r>
    <x v="181"/>
    <n v="4"/>
    <s v="Unlock"/>
    <x v="18"/>
    <n v="6.27"/>
    <n v="5.98"/>
    <n v="7.22"/>
    <n v="7.01"/>
    <n v="6.27"/>
    <n v="6.87"/>
    <n v="0.46"/>
    <s v="Moderate"/>
    <s v="Avg."/>
    <x v="0"/>
    <n v="6.0229999999999997"/>
    <n v="6.9399999999999995"/>
    <n v="3.3649999999999998"/>
    <n v="35.314"/>
    <n v="387"/>
  </r>
  <r>
    <x v="182"/>
    <n v="4"/>
    <s v="Unlock"/>
    <x v="18"/>
    <n v="6.29"/>
    <n v="5.96"/>
    <n v="7.27"/>
    <n v="7.05"/>
    <n v="6.3"/>
    <n v="6.91"/>
    <n v="0.39"/>
    <s v="Low to Moderate"/>
    <s v="Above Avg."/>
    <x v="0"/>
    <n v="6.0579999999999998"/>
    <n v="6.98"/>
    <n v="3.3449999999999998"/>
    <n v="35.478999999999999"/>
    <n v="381"/>
  </r>
  <r>
    <x v="183"/>
    <n v="4"/>
    <s v="Unlock"/>
    <x v="18"/>
    <n v="6.29"/>
    <n v="6"/>
    <n v="7.24"/>
    <n v="7.04"/>
    <n v="6.31"/>
    <n v="6.91"/>
    <n v="0.37"/>
    <s v="Moderate"/>
    <s v="Above Avg."/>
    <x v="0"/>
    <n v="6.0510000000000002"/>
    <n v="6.9749999999999996"/>
    <n v="3.34"/>
    <n v="35.442999999999998"/>
    <n v="385"/>
  </r>
  <r>
    <x v="184"/>
    <n v="4"/>
    <s v="Unlock"/>
    <x v="18"/>
    <n v="6.33"/>
    <n v="6.05"/>
    <n v="7.27"/>
    <n v="7.07"/>
    <n v="6.33"/>
    <n v="6.93"/>
    <n v="0.42"/>
    <s v="Moderate"/>
    <s v="Above Avg."/>
    <x v="0"/>
    <n v="6.0730000000000004"/>
    <n v="7"/>
    <n v="3.375"/>
    <n v="35.594000000000001"/>
    <n v="373"/>
  </r>
  <r>
    <x v="185"/>
    <n v="4"/>
    <s v="Unlock"/>
    <x v="18"/>
    <n v="6.34"/>
    <n v="6.02"/>
    <n v="7.31"/>
    <n v="7.09"/>
    <n v="6.37"/>
    <n v="6.97"/>
    <n v="0.25"/>
    <s v="Moderate"/>
    <s v="High"/>
    <x v="0"/>
    <n v="6.109"/>
    <n v="7.0299999999999994"/>
    <n v="3.31"/>
    <n v="35.697000000000003"/>
    <n v="367"/>
  </r>
  <r>
    <x v="186"/>
    <n v="5"/>
    <s v="Unlock"/>
    <x v="19"/>
    <n v="5.4"/>
    <n v="5.31"/>
    <n v="6.25"/>
    <n v="5.95"/>
    <n v="5.54"/>
    <n v="5.96"/>
    <n v="0.14000000000000001"/>
    <s v="Low"/>
    <s v="High"/>
    <x v="0"/>
    <n v="5.27"/>
    <n v="5.9550000000000001"/>
    <n v="2.84"/>
    <n v="30.56"/>
    <n v="514"/>
  </r>
  <r>
    <x v="187"/>
    <n v="5"/>
    <s v="Unlock"/>
    <x v="19"/>
    <n v="5.41"/>
    <n v="5.31"/>
    <m/>
    <m/>
    <m/>
    <m/>
    <n v="0.19"/>
    <s v="Low"/>
    <s v="High"/>
    <x v="0"/>
    <n v="0"/>
    <n v="0"/>
    <n v="9.5000000000000001E-2"/>
    <n v="9.5000000000000001E-2"/>
    <n v="585"/>
  </r>
  <r>
    <x v="188"/>
    <n v="5"/>
    <s v="Unlock"/>
    <x v="19"/>
    <n v="5.47"/>
    <n v="5.37"/>
    <n v="6.32"/>
    <n v="6.02"/>
    <n v="5.61"/>
    <n v="6.03"/>
    <n v="0.14000000000000001"/>
    <s v="Low"/>
    <s v="High"/>
    <x v="0"/>
    <n v="5.3330000000000002"/>
    <n v="6.0250000000000004"/>
    <n v="2.875"/>
    <n v="30.923999999999999"/>
    <n v="512"/>
  </r>
  <r>
    <x v="189"/>
    <n v="4"/>
    <s v="Unlock"/>
    <x v="19"/>
    <n v="5.34"/>
    <n v="5.25"/>
    <n v="6.18"/>
    <n v="5.88"/>
    <n v="5.48"/>
    <n v="5.9"/>
    <n v="0.15"/>
    <s v="Low"/>
    <s v="Above Avg."/>
    <x v="0"/>
    <n v="5.2119999999999997"/>
    <n v="5.8900000000000006"/>
    <n v="2.8150000000000004"/>
    <n v="30.231000000000002"/>
    <n v="526"/>
  </r>
  <r>
    <x v="190"/>
    <n v="4"/>
    <s v="Unlock"/>
    <x v="19"/>
    <n v="5.41"/>
    <n v="5.34"/>
    <n v="6.19"/>
    <n v="5.92"/>
    <n v="5.47"/>
    <n v="5.91"/>
    <n v="0.09"/>
    <s v="Low"/>
    <s v="Above Avg."/>
    <x v="0"/>
    <n v="5.2110000000000003"/>
    <n v="5.915"/>
    <n v="2.78"/>
    <n v="30.243000000000002"/>
    <n v="524"/>
  </r>
  <r>
    <x v="191"/>
    <n v="4"/>
    <s v="Unlock"/>
    <x v="19"/>
    <n v="5.34"/>
    <n v="5.25"/>
    <n v="6.18"/>
    <n v="5.88"/>
    <n v="5.47"/>
    <n v="5.89"/>
    <n v="0.18"/>
    <s v="Low"/>
    <s v="Above Avg."/>
    <x v="0"/>
    <n v="5.2069999999999999"/>
    <n v="5.8849999999999998"/>
    <n v="2.8249999999999997"/>
    <n v="30.215999999999998"/>
    <n v="530"/>
  </r>
  <r>
    <x v="192"/>
    <n v="4"/>
    <s v="Unlock"/>
    <x v="19"/>
    <n v="5.35"/>
    <n v="5.26"/>
    <n v="6.2"/>
    <n v="5.9"/>
    <n v="5.49"/>
    <n v="5.91"/>
    <n v="0.12"/>
    <s v="Low"/>
    <s v="Above Avg."/>
    <x v="0"/>
    <n v="5.2250000000000005"/>
    <n v="5.9050000000000002"/>
    <n v="2.8050000000000002"/>
    <n v="30.29"/>
    <n v="520"/>
  </r>
  <r>
    <x v="193"/>
    <n v="4"/>
    <s v="Unlock"/>
    <x v="19"/>
    <n v="5.34"/>
    <n v="5.25"/>
    <n v="6.17"/>
    <n v="5.88"/>
    <n v="5.46"/>
    <n v="5.89"/>
    <n v="0.2"/>
    <s v="Low"/>
    <s v="Above Avg."/>
    <x v="0"/>
    <n v="5.1980000000000004"/>
    <n v="5.8849999999999998"/>
    <n v="2.83"/>
    <n v="30.194000000000003"/>
    <n v="532"/>
  </r>
  <r>
    <x v="194"/>
    <n v="4"/>
    <s v="Unlock"/>
    <x v="19"/>
    <n v="5.34"/>
    <n v="5.24"/>
    <n v="6.18"/>
    <n v="5.88"/>
    <n v="5.49"/>
    <n v="5.9"/>
    <n v="0.2"/>
    <s v="Low"/>
    <s v="Above Avg."/>
    <x v="0"/>
    <n v="5.2170000000000005"/>
    <n v="5.8900000000000006"/>
    <n v="2.8450000000000002"/>
    <n v="30.276000000000003"/>
    <n v="522"/>
  </r>
  <r>
    <x v="195"/>
    <n v="4"/>
    <s v="Unlock"/>
    <x v="19"/>
    <n v="5.27"/>
    <n v="5.16"/>
    <n v="6.17"/>
    <n v="5.86"/>
    <n v="5.48"/>
    <n v="5.88"/>
    <n v="0.23"/>
    <s v="Low"/>
    <s v="Above Avg."/>
    <x v="0"/>
    <n v="5.2080000000000002"/>
    <n v="5.87"/>
    <n v="2.8550000000000004"/>
    <n v="30.219000000000001"/>
    <n v="528"/>
  </r>
  <r>
    <x v="196"/>
    <n v="4"/>
    <s v="Unlock"/>
    <x v="19"/>
    <n v="5.36"/>
    <n v="5.27"/>
    <n v="6.21"/>
    <n v="5.91"/>
    <n v="5.5"/>
    <n v="5.92"/>
    <n v="0.18"/>
    <s v="Low"/>
    <s v="Above Avg."/>
    <x v="0"/>
    <n v="5.234"/>
    <n v="5.915"/>
    <n v="2.84"/>
    <n v="30.372"/>
    <n v="518"/>
  </r>
  <r>
    <x v="197"/>
    <n v="5"/>
    <s v="Unlock"/>
    <x v="20"/>
    <n v="4.33"/>
    <n v="3.29"/>
    <n v="7.47"/>
    <n v="6.92"/>
    <n v="6.62"/>
    <n v="6.92"/>
    <n v="0.59"/>
    <s v="Moderately High"/>
    <s v="High"/>
    <x v="0"/>
    <n v="6.298"/>
    <n v="6.92"/>
    <n v="3.605"/>
    <n v="36.338999999999992"/>
    <n v="349"/>
  </r>
  <r>
    <x v="198"/>
    <n v="4"/>
    <s v="Unlock"/>
    <x v="20"/>
    <n v="3.26"/>
    <n v="3.89"/>
    <n v="6.77"/>
    <n v="6.42"/>
    <n v="5.75"/>
    <n v="6.37"/>
    <n v="0.63"/>
    <s v="Moderate"/>
    <s v="Above Avg."/>
    <x v="0"/>
    <n v="5.5830000000000002"/>
    <n v="6.3949999999999996"/>
    <n v="3.19"/>
    <n v="32.728999999999999"/>
    <n v="482"/>
  </r>
  <r>
    <x v="199"/>
    <n v="4"/>
    <s v="Unlock"/>
    <x v="20"/>
    <n v="1.87"/>
    <n v="1.51"/>
    <n v="6.18"/>
    <n v="5.51"/>
    <n v="5.45"/>
    <n v="5.8"/>
    <n v="0.97"/>
    <s v="Moderate"/>
    <s v="Above Avg."/>
    <x v="0"/>
    <n v="5.1970000000000001"/>
    <n v="5.6549999999999994"/>
    <n v="3.21"/>
    <n v="30.111000000000001"/>
    <n v="538"/>
  </r>
  <r>
    <x v="200"/>
    <n v="4"/>
    <s v="Unlock"/>
    <x v="20"/>
    <n v="5.38"/>
    <n v="4.91"/>
    <n v="6.32"/>
    <n v="6.35"/>
    <n v="4.92"/>
    <n v="5.9"/>
    <n v="1.02"/>
    <s v="Low to Moderate"/>
    <s v="Avg."/>
    <x v="0"/>
    <n v="4.9880000000000004"/>
    <n v="6.125"/>
    <n v="2.9699999999999998"/>
    <n v="30.184000000000001"/>
    <n v="534"/>
  </r>
  <r>
    <x v="201"/>
    <n v="5"/>
    <s v="Unlock"/>
    <x v="20"/>
    <n v="3.29"/>
    <n v="2.44"/>
    <n v="6.79"/>
    <n v="6.19"/>
    <n v="5.71"/>
    <n v="6.33"/>
    <n v="0.75"/>
    <s v="Moderate"/>
    <s v="High"/>
    <x v="0"/>
    <n v="5.5709999999999997"/>
    <n v="6.26"/>
    <n v="3.23"/>
    <n v="32.463000000000001"/>
    <n v="490"/>
  </r>
  <r>
    <x v="202"/>
    <n v="4"/>
    <s v="Unlock"/>
    <x v="21"/>
    <n v="4.74"/>
    <n v="3.89"/>
    <n v="6.99"/>
    <n v="6.66"/>
    <n v="5.98"/>
    <n v="6.57"/>
    <n v="0.97"/>
    <s v="Moderate"/>
    <s v="Above Avg."/>
    <x v="0"/>
    <n v="5.7860000000000005"/>
    <n v="6.6150000000000002"/>
    <n v="3.4750000000000001"/>
    <n v="34.063000000000002"/>
    <n v="420"/>
  </r>
  <r>
    <x v="203"/>
    <n v="4"/>
    <s v="Unlock"/>
    <x v="21"/>
    <n v="4.74"/>
    <n v="4.1399999999999997"/>
    <n v="6.87"/>
    <n v="6.5"/>
    <n v="5.67"/>
    <n v="6.3"/>
    <n v="0.67"/>
    <s v="Low to Moderate"/>
    <s v="Avg."/>
    <x v="0"/>
    <n v="5.5830000000000002"/>
    <n v="6.4"/>
    <n v="3.17"/>
    <n v="32.719000000000001"/>
    <n v="484"/>
  </r>
  <r>
    <x v="204"/>
    <n v="4"/>
    <s v="Unlock"/>
    <x v="21"/>
    <n v="4.99"/>
    <n v="4.0199999999999996"/>
    <n v="7.17"/>
    <n v="6.88"/>
    <n v="5.61"/>
    <n v="6.58"/>
    <n v="0.59"/>
    <s v="Moderate"/>
    <s v="High"/>
    <x v="0"/>
    <n v="5.673"/>
    <n v="6.73"/>
    <n v="3.1"/>
    <n v="33.579000000000001"/>
    <n v="464"/>
  </r>
  <r>
    <x v="205"/>
    <n v="5"/>
    <s v="Unlock"/>
    <x v="21"/>
    <n v="5.91"/>
    <n v="5.31"/>
    <n v="6.95"/>
    <n v="6.91"/>
    <n v="5.53"/>
    <n v="6.48"/>
    <n v="0.56000000000000005"/>
    <s v="Low to Moderate"/>
    <s v="Above Avg."/>
    <x v="0"/>
    <n v="5.5449999999999999"/>
    <n v="6.6950000000000003"/>
    <n v="3.0449999999999999"/>
    <n v="33.07"/>
    <n v="478"/>
  </r>
  <r>
    <x v="206"/>
    <n v="4"/>
    <s v="Unlock"/>
    <x v="21"/>
    <n v="5.8"/>
    <n v="5.17"/>
    <n v="7.38"/>
    <n v="7.44"/>
    <n v="6.06"/>
    <n v="6.93"/>
    <n v="0.75"/>
    <s v="Moderate"/>
    <s v="Above Avg."/>
    <x v="0"/>
    <n v="5.9819999999999993"/>
    <n v="7.1850000000000005"/>
    <n v="3.4049999999999998"/>
    <n v="35.721000000000004"/>
    <n v="363"/>
  </r>
  <r>
    <x v="207"/>
    <n v="5"/>
    <s v="Unlock"/>
    <x v="21"/>
    <n v="5.28"/>
    <n v="4.5199999999999996"/>
    <n v="7.29"/>
    <n v="6.84"/>
    <n v="6.41"/>
    <n v="6.89"/>
    <n v="0.56000000000000005"/>
    <s v="Moderate"/>
    <s v="High"/>
    <x v="0"/>
    <n v="6.1210000000000004"/>
    <n v="6.8650000000000002"/>
    <n v="3.4850000000000003"/>
    <n v="35.578000000000003"/>
    <n v="377"/>
  </r>
  <r>
    <x v="208"/>
    <n v="4"/>
    <s v="Unlock"/>
    <x v="21"/>
    <n v="4.59"/>
    <n v="3.63"/>
    <n v="7.03"/>
    <n v="6.57"/>
    <n v="6.05"/>
    <n v="6.55"/>
    <n v="0.7"/>
    <s v="Moderate"/>
    <s v="Above Avg."/>
    <x v="0"/>
    <n v="5.8369999999999997"/>
    <n v="6.5600000000000005"/>
    <n v="3.375"/>
    <n v="34.006"/>
    <n v="424"/>
  </r>
  <r>
    <x v="209"/>
    <n v="4"/>
    <s v="Unlock"/>
    <x v="21"/>
    <n v="4.4000000000000004"/>
    <n v="3.52"/>
    <n v="7.09"/>
    <n v="6.6"/>
    <n v="6.34"/>
    <n v="6.71"/>
    <n v="0.78"/>
    <s v="Moderate"/>
    <s v="Above Avg."/>
    <x v="0"/>
    <n v="6.0060000000000002"/>
    <n v="6.6549999999999994"/>
    <n v="3.56"/>
    <n v="34.887999999999998"/>
    <n v="397"/>
  </r>
  <r>
    <x v="210"/>
    <n v="4"/>
    <s v="Unlock"/>
    <x v="22"/>
    <n v="6.34"/>
    <n v="5.65"/>
    <n v="7.54"/>
    <n v="7.32"/>
    <n v="8.32"/>
    <n v="7.46"/>
    <n v="1.6"/>
    <s v="Moderately High"/>
    <s v="Above Avg."/>
    <x v="0"/>
    <n v="7.1760000000000002"/>
    <n v="7.3900000000000006"/>
    <n v="4.96"/>
    <n v="41.268000000000001"/>
    <n v="311"/>
  </r>
  <r>
    <x v="211"/>
    <n v="4"/>
    <s v="Unlock"/>
    <x v="22"/>
    <n v="7.61"/>
    <n v="6.71"/>
    <n v="8.0399999999999991"/>
    <n v="8.1"/>
    <n v="7.26"/>
    <n v="7.73"/>
    <n v="1.37"/>
    <s v="High"/>
    <s v="Above Avg."/>
    <x v="0"/>
    <n v="6.8460000000000001"/>
    <n v="7.915"/>
    <n v="4.3149999999999995"/>
    <n v="40.683"/>
    <n v="319"/>
  </r>
  <r>
    <x v="212"/>
    <n v="5"/>
    <s v="Unlock"/>
    <x v="22"/>
    <n v="5.98"/>
    <n v="6.71"/>
    <n v="8.1300000000000008"/>
    <n v="8.1199999999999992"/>
    <n v="6.93"/>
    <n v="7.99"/>
    <n v="1.46"/>
    <s v="Moderate"/>
    <s v="High"/>
    <x v="0"/>
    <n v="6.7170000000000005"/>
    <n v="8.0549999999999997"/>
    <n v="4.1950000000000003"/>
    <n v="40.456000000000003"/>
    <n v="323"/>
  </r>
  <r>
    <x v="213"/>
    <n v="4"/>
    <s v="Unlock"/>
    <x v="22"/>
    <n v="7.15"/>
    <n v="6.42"/>
    <n v="8.02"/>
    <n v="7.94"/>
    <n v="8.33"/>
    <n v="7.76"/>
    <n v="1.51"/>
    <s v="High"/>
    <s v="Above Avg."/>
    <x v="0"/>
    <n v="7.3730000000000002"/>
    <n v="7.85"/>
    <n v="4.92"/>
    <n v="42.739000000000004"/>
    <n v="299"/>
  </r>
  <r>
    <x v="214"/>
    <n v="4"/>
    <s v="Unlock"/>
    <x v="23"/>
    <n v="4.6900000000000004"/>
    <n v="3.9"/>
    <n v="6.64"/>
    <n v="6.36"/>
    <n v="5.72"/>
    <n v="6.27"/>
    <n v="0.65"/>
    <s v="Moderate"/>
    <s v="Avg."/>
    <x v="0"/>
    <n v="5.516"/>
    <n v="6.3149999999999995"/>
    <n v="3.1850000000000001"/>
    <n v="32.363"/>
    <n v="492"/>
  </r>
  <r>
    <x v="215"/>
    <n v="4"/>
    <s v="Unlock"/>
    <x v="23"/>
    <n v="4.6900000000000004"/>
    <n v="4.0999999999999996"/>
    <n v="6.59"/>
    <n v="6.3"/>
    <n v="5.7"/>
    <n v="6.25"/>
    <n v="0.65"/>
    <s v="Low to Moderate"/>
    <s v="Above Avg."/>
    <x v="0"/>
    <n v="5.4860000000000007"/>
    <n v="6.2750000000000004"/>
    <n v="3.1750000000000003"/>
    <n v="32.183"/>
    <n v="498"/>
  </r>
  <r>
    <x v="216"/>
    <n v="5"/>
    <s v="Unlock"/>
    <x v="23"/>
    <n v="5.98"/>
    <n v="5.44"/>
    <n v="7.1"/>
    <n v="7.01"/>
    <n v="5.95"/>
    <n v="6.7"/>
    <n v="0.5"/>
    <s v="Moderate"/>
    <s v="High"/>
    <x v="0"/>
    <n v="5.8149999999999995"/>
    <n v="6.8550000000000004"/>
    <n v="3.2250000000000001"/>
    <n v="34.380000000000003"/>
    <n v="412"/>
  </r>
  <r>
    <x v="217"/>
    <n v="5"/>
    <s v="Unlock"/>
    <x v="23"/>
    <n v="4.8"/>
    <n v="4.01"/>
    <n v="6.99"/>
    <n v="6.48"/>
    <n v="6.23"/>
    <n v="6.59"/>
    <n v="0.74"/>
    <s v="Moderate"/>
    <s v="Above Avg."/>
    <x v="0"/>
    <n v="5.9110000000000005"/>
    <n v="6.5350000000000001"/>
    <n v="3.4850000000000003"/>
    <n v="34.288000000000004"/>
    <n v="414"/>
  </r>
  <r>
    <x v="218"/>
    <n v="4"/>
    <s v="Unlock"/>
    <x v="23"/>
    <n v="4.5599999999999996"/>
    <n v="3.8"/>
    <n v="6.86"/>
    <n v="6.47"/>
    <n v="5.61"/>
    <n v="6.35"/>
    <n v="0.42"/>
    <s v="Moderate"/>
    <s v="Above Avg."/>
    <x v="0"/>
    <n v="5.5490000000000004"/>
    <n v="6.41"/>
    <n v="3.0150000000000001"/>
    <n v="32.481999999999999"/>
    <n v="488"/>
  </r>
  <r>
    <x v="219"/>
    <n v="5"/>
    <s v="Unlock"/>
    <x v="23"/>
    <n v="5.81"/>
    <n v="5.17"/>
    <n v="6.93"/>
    <n v="6.9"/>
    <n v="7.19"/>
    <n v="7.24"/>
    <n v="0.46"/>
    <s v="Low to Moderate"/>
    <s v="High"/>
    <x v="0"/>
    <n v="6.3670000000000009"/>
    <n v="7.07"/>
    <n v="3.8250000000000002"/>
    <n v="37.066000000000003"/>
    <n v="341"/>
  </r>
  <r>
    <x v="220"/>
    <n v="5"/>
    <s v="Unlock"/>
    <x v="24"/>
    <n v="6.15"/>
    <n v="5.6"/>
    <n v="7.34"/>
    <n v="7.07"/>
    <n v="6.41"/>
    <n v="6.97"/>
    <n v="0.43"/>
    <s v="Low to Moderate"/>
    <s v="Avg."/>
    <x v="0"/>
    <n v="6.141"/>
    <n v="7.02"/>
    <n v="3.42"/>
    <n v="35.883000000000003"/>
    <n v="353"/>
  </r>
  <r>
    <x v="221"/>
    <n v="4"/>
    <s v="Unlock"/>
    <x v="24"/>
    <n v="5.98"/>
    <n v="5.27"/>
    <n v="7.57"/>
    <n v="7.16"/>
    <n v="6.57"/>
    <n v="7.09"/>
    <n v="0.54"/>
    <s v="Moderate"/>
    <s v="Avg."/>
    <x v="0"/>
    <n v="6.3130000000000006"/>
    <n v="7.125"/>
    <n v="3.5550000000000002"/>
    <n v="36.744"/>
    <n v="345"/>
  </r>
  <r>
    <x v="222"/>
    <n v="4"/>
    <s v="Unlock"/>
    <x v="24"/>
    <n v="5.96"/>
    <n v="4.96"/>
    <n v="7.46"/>
    <n v="7.15"/>
    <n v="6.37"/>
    <n v="6.92"/>
    <n v="0.63"/>
    <s v="Moderate"/>
    <s v="Avg."/>
    <x v="0"/>
    <n v="6.1690000000000005"/>
    <n v="7.0350000000000001"/>
    <n v="3.5"/>
    <n v="36.076999999999998"/>
    <n v="351"/>
  </r>
  <r>
    <x v="223"/>
    <n v="4"/>
    <s v="Unlock"/>
    <x v="25"/>
    <n v="0.25"/>
    <n v="1.48"/>
    <n v="6.51"/>
    <n v="5.38"/>
    <n v="5.38"/>
    <n v="5.8"/>
    <n v="0.86"/>
    <s v="Moderate"/>
    <s v="Above Avg."/>
    <x v="0"/>
    <n v="5.2940000000000005"/>
    <n v="5.59"/>
    <n v="3.12"/>
    <n v="30.182000000000002"/>
    <n v="536"/>
  </r>
  <r>
    <x v="224"/>
    <n v="5"/>
    <s v="Unlock"/>
    <x v="25"/>
    <n v="-0.12"/>
    <n v="-0.21"/>
    <n v="6.04"/>
    <n v="4.78"/>
    <n v="5.12"/>
    <n v="5.45"/>
    <n v="0.46"/>
    <s v="Moderate"/>
    <s v="Above Avg."/>
    <x v="0"/>
    <n v="4.9760000000000009"/>
    <n v="5.1150000000000002"/>
    <n v="2.79"/>
    <n v="27.948"/>
    <n v="558"/>
  </r>
  <r>
    <x v="225"/>
    <n v="4"/>
    <s v="Unlock"/>
    <x v="25"/>
    <n v="1.95"/>
    <n v="3.53"/>
    <n v="5.67"/>
    <n v="5.37"/>
    <n v="4.8099999999999996"/>
    <n v="5.31"/>
    <n v="1.1499999999999999"/>
    <s v="Moderate"/>
    <s v="Avg."/>
    <x v="0"/>
    <n v="4.673"/>
    <n v="5.34"/>
    <n v="2.9799999999999995"/>
    <n v="27.678999999999998"/>
    <n v="560"/>
  </r>
  <r>
    <x v="226"/>
    <n v="4"/>
    <s v="Unlock"/>
    <x v="25"/>
    <n v="-0.21"/>
    <n v="0.31"/>
    <n v="5.83"/>
    <n v="4.63"/>
    <n v="4.9800000000000004"/>
    <n v="5.23"/>
    <n v="0.93"/>
    <s v="Moderate"/>
    <s v="Above Avg."/>
    <x v="0"/>
    <n v="4.822000000000001"/>
    <n v="4.93"/>
    <n v="2.9550000000000001"/>
    <n v="27.280999999999999"/>
    <n v="562"/>
  </r>
  <r>
    <x v="227"/>
    <n v="5"/>
    <s v="Unlock"/>
    <x v="25"/>
    <n v="1.99"/>
    <n v="1.66"/>
    <n v="6.66"/>
    <n v="5.54"/>
    <n v="6.03"/>
    <n v="6.17"/>
    <n v="1.1000000000000001"/>
    <s v="Moderate"/>
    <s v="High"/>
    <x v="0"/>
    <n v="5.6790000000000003"/>
    <n v="5.8550000000000004"/>
    <n v="3.5650000000000004"/>
    <n v="32.311999999999998"/>
    <n v="494"/>
  </r>
  <r>
    <x v="228"/>
    <n v="5"/>
    <s v="Unlock"/>
    <x v="25"/>
    <n v="4.49"/>
    <n v="3.29"/>
    <n v="6.76"/>
    <n v="6.43"/>
    <m/>
    <m/>
    <n v="0.27"/>
    <s v="Moderate"/>
    <s v="High"/>
    <x v="0"/>
    <n v="2.7040000000000002"/>
    <n v="3.2149999999999999"/>
    <n v="0.13500000000000001"/>
    <n v="14.677"/>
    <n v="581"/>
  </r>
  <r>
    <x v="229"/>
    <n v="4"/>
    <s v="Unlock"/>
    <x v="25"/>
    <n v="0.12"/>
    <n v="1.64"/>
    <n v="6.11"/>
    <n v="5"/>
    <n v="5.69"/>
    <n v="5.8"/>
    <n v="0.96"/>
    <s v="Moderate"/>
    <s v="Above Avg."/>
    <x v="0"/>
    <n v="5.2890000000000006"/>
    <n v="5.4"/>
    <n v="3.3250000000000002"/>
    <n v="29.992000000000001"/>
    <n v="540"/>
  </r>
  <r>
    <x v="230"/>
    <n v="4"/>
    <s v="Unlock"/>
    <x v="25"/>
    <n v="2.21"/>
    <n v="4.46"/>
    <n v="6.58"/>
    <n v="6.09"/>
    <n v="5.56"/>
    <n v="6.17"/>
    <n v="0.99"/>
    <s v="Moderate"/>
    <s v="Above Avg."/>
    <x v="0"/>
    <n v="5.4119999999999999"/>
    <n v="6.13"/>
    <n v="3.2749999999999999"/>
    <n v="31.771000000000001"/>
    <n v="506"/>
  </r>
  <r>
    <x v="231"/>
    <n v="4"/>
    <s v="Unlock"/>
    <x v="26"/>
    <n v="8.7200000000000006"/>
    <n v="3.9"/>
    <n v="15.34"/>
    <n v="10.199999999999999"/>
    <n v="13"/>
    <n v="11.57"/>
    <n v="2.68"/>
    <s v="Very High"/>
    <s v="Above Avg."/>
    <x v="0"/>
    <n v="12.635999999999999"/>
    <n v="10.885"/>
    <n v="7.84"/>
    <n v="67.518000000000001"/>
    <n v="200"/>
  </r>
  <r>
    <x v="232"/>
    <n v="4"/>
    <s v="Unlock"/>
    <x v="26"/>
    <n v="13.63"/>
    <n v="12.14"/>
    <n v="19.8"/>
    <n v="11.86"/>
    <n v="17.28"/>
    <n v="14.61"/>
    <n v="2.87"/>
    <s v="Very High"/>
    <s v="High"/>
    <x v="0"/>
    <n v="16.560000000000002"/>
    <n v="13.234999999999999"/>
    <n v="10.075000000000001"/>
    <n v="86.225000000000009"/>
    <n v="102"/>
  </r>
  <r>
    <x v="233"/>
    <n v="4"/>
    <s v="Unlock"/>
    <x v="26"/>
    <n v="3.76"/>
    <n v="0.3"/>
    <n v="15.1"/>
    <n v="8.1999999999999993"/>
    <n v="14.44"/>
    <n v="11.85"/>
    <n v="1.91"/>
    <s v="Very High"/>
    <s v="Above Avg."/>
    <x v="0"/>
    <n v="13.26"/>
    <n v="10.024999999999999"/>
    <n v="8.1749999999999989"/>
    <n v="68.004999999999995"/>
    <n v="196"/>
  </r>
  <r>
    <x v="234"/>
    <n v="4"/>
    <s v="Unlock"/>
    <x v="26"/>
    <n v="-0.61"/>
    <n v="-5.91"/>
    <n v="10.73"/>
    <n v="3.47"/>
    <n v="12.43"/>
    <n v="8.61"/>
    <n v="1.74"/>
    <s v="Very High"/>
    <s v="Avg."/>
    <x v="0"/>
    <n v="10.507000000000001"/>
    <n v="6.04"/>
    <n v="7.085"/>
    <n v="50.686000000000007"/>
    <n v="283"/>
  </r>
  <r>
    <x v="235"/>
    <n v="4"/>
    <s v="Unlock"/>
    <x v="26"/>
    <n v="-1.29"/>
    <n v="-7.05"/>
    <n v="10.75"/>
    <n v="3.26"/>
    <n v="11.27"/>
    <n v="8.07"/>
    <n v="2.1800000000000002"/>
    <s v="Very High"/>
    <s v="Avg."/>
    <x v="0"/>
    <n v="9.9349999999999987"/>
    <n v="5.665"/>
    <n v="6.7249999999999996"/>
    <n v="47.86"/>
    <n v="287"/>
  </r>
  <r>
    <x v="236"/>
    <n v="4"/>
    <s v="Unlock"/>
    <x v="26"/>
    <n v="6.93"/>
    <n v="2.4"/>
    <n v="17.28"/>
    <n v="9.5299999999999994"/>
    <n v="14.53"/>
    <n v="12.75"/>
    <n v="5.98"/>
    <s v="Very High"/>
    <s v="Above Avg."/>
    <x v="0"/>
    <n v="14.177"/>
    <n v="11.14"/>
    <n v="10.254999999999999"/>
    <n v="75.066000000000003"/>
    <n v="160"/>
  </r>
  <r>
    <x v="237"/>
    <n v="5"/>
    <s v="Unlock"/>
    <x v="26"/>
    <n v="5.07"/>
    <n v="1.82"/>
    <n v="17.63"/>
    <n v="10.4"/>
    <n v="18.260000000000002"/>
    <n v="14.41"/>
    <n v="2.89"/>
    <s v="Very High"/>
    <s v="High"/>
    <x v="0"/>
    <n v="16.182000000000002"/>
    <n v="12.405000000000001"/>
    <n v="10.575000000000001"/>
    <n v="83.931000000000012"/>
    <n v="112"/>
  </r>
  <r>
    <x v="238"/>
    <n v="5"/>
    <s v="Unlock"/>
    <x v="26"/>
    <n v="13.41"/>
    <n v="7.26"/>
    <n v="20.96"/>
    <n v="13.18"/>
    <n v="16.27"/>
    <n v="15.44"/>
    <n v="2.5299999999999998"/>
    <s v="Very High"/>
    <s v="High"/>
    <x v="0"/>
    <n v="16.518999999999998"/>
    <n v="14.309999999999999"/>
    <n v="9.4"/>
    <n v="87.576999999999998"/>
    <n v="91"/>
  </r>
  <r>
    <x v="239"/>
    <n v="4"/>
    <s v="Unlock"/>
    <x v="26"/>
    <n v="-0.94"/>
    <n v="-5.67"/>
    <n v="16.27"/>
    <n v="4.33"/>
    <n v="14.06"/>
    <n v="11.02"/>
    <n v="2.93"/>
    <s v="Very High"/>
    <s v="Above Avg."/>
    <x v="0"/>
    <n v="13.538"/>
    <n v="7.6749999999999998"/>
    <n v="8.495000000000001"/>
    <n v="64.459000000000003"/>
    <n v="210"/>
  </r>
  <r>
    <x v="240"/>
    <n v="4"/>
    <s v="Unlock"/>
    <x v="26"/>
    <n v="7.84"/>
    <n v="3.41"/>
    <n v="14.43"/>
    <n v="8.92"/>
    <n v="13.09"/>
    <n v="11.29"/>
    <n v="1.8"/>
    <s v="Very High"/>
    <s v="Above Avg."/>
    <x v="0"/>
    <n v="12.317"/>
    <n v="10.105"/>
    <n v="7.4450000000000003"/>
    <n v="64.605999999999995"/>
    <n v="206"/>
  </r>
  <r>
    <x v="241"/>
    <n v="4"/>
    <s v="Unlock"/>
    <x v="26"/>
    <n v="1.07"/>
    <n v="-4.09"/>
    <n v="14.7"/>
    <n v="6.89"/>
    <n v="13.47"/>
    <n v="10.63"/>
    <n v="1.98"/>
    <s v="Very High"/>
    <s v="Above Avg."/>
    <x v="0"/>
    <n v="12.615"/>
    <n v="8.76"/>
    <n v="7.7250000000000005"/>
    <n v="63.089999999999996"/>
    <n v="220"/>
  </r>
  <r>
    <x v="242"/>
    <n v="4"/>
    <s v="Unlock"/>
    <x v="26"/>
    <n v="3.73"/>
    <n v="-0.12"/>
    <n v="13.47"/>
    <n v="7.07"/>
    <n v="12.81"/>
    <n v="10.54"/>
    <n v="1.91"/>
    <s v="Very High"/>
    <s v="Above Avg."/>
    <x v="0"/>
    <n v="11.793000000000001"/>
    <n v="8.8049999999999997"/>
    <n v="7.36"/>
    <n v="60.349000000000004"/>
    <n v="240"/>
  </r>
  <r>
    <x v="243"/>
    <n v="5"/>
    <s v="Unlock"/>
    <x v="26"/>
    <n v="18.52"/>
    <n v="16.559999999999999"/>
    <n v="23.85"/>
    <n v="17.39"/>
    <n v="25.57"/>
    <n v="19.600000000000001"/>
    <n v="3.22"/>
    <s v="Very High"/>
    <s v="High"/>
    <x v="0"/>
    <n v="22.325000000000003"/>
    <n v="18.495000000000001"/>
    <n v="14.395"/>
    <n v="118.36"/>
    <n v="17"/>
  </r>
  <r>
    <x v="244"/>
    <n v="4"/>
    <s v="Unlock"/>
    <x v="26"/>
    <n v="6.46"/>
    <n v="4.26"/>
    <n v="14.29"/>
    <n v="10.130000000000001"/>
    <n v="12.04"/>
    <n v="10.99"/>
    <n v="1.31"/>
    <s v="Very High"/>
    <s v="Avg."/>
    <x v="0"/>
    <n v="11.736000000000001"/>
    <n v="10.56"/>
    <n v="6.6749999999999998"/>
    <n v="63.003"/>
    <n v="222"/>
  </r>
  <r>
    <x v="245"/>
    <n v="5"/>
    <s v="Unlock"/>
    <x v="26"/>
    <n v="1.95"/>
    <n v="-2"/>
    <n v="14.14"/>
    <n v="6.97"/>
    <n v="13.8"/>
    <n v="10.91"/>
    <n v="1.85"/>
    <s v="Very High"/>
    <s v="Above Avg."/>
    <x v="0"/>
    <n v="12.556000000000001"/>
    <n v="8.94"/>
    <n v="7.8250000000000002"/>
    <n v="63.373000000000005"/>
    <n v="218"/>
  </r>
  <r>
    <x v="246"/>
    <n v="4"/>
    <s v="Unlock"/>
    <x v="27"/>
    <n v="4.6500000000000004"/>
    <n v="2.83"/>
    <n v="8.58"/>
    <n v="6.85"/>
    <n v="8.1300000000000008"/>
    <n v="7.51"/>
    <n v="1.8"/>
    <s v="Moderately High"/>
    <s v="Avg."/>
    <x v="0"/>
    <n v="7.4970000000000008"/>
    <n v="7.18"/>
    <n v="4.9650000000000007"/>
    <n v="41.816000000000003"/>
    <n v="307"/>
  </r>
  <r>
    <x v="247"/>
    <n v="4"/>
    <s v="Unlock"/>
    <x v="27"/>
    <n v="4.5199999999999996"/>
    <n v="3.33"/>
    <n v="7.04"/>
    <n v="4.96"/>
    <n v="10.19"/>
    <n v="7.39"/>
    <n v="2.19"/>
    <s v="Moderately High"/>
    <s v="High"/>
    <x v="0"/>
    <n v="7.9109999999999996"/>
    <n v="6.1749999999999998"/>
    <n v="6.1899999999999995"/>
    <n v="42.272999999999996"/>
    <n v="301"/>
  </r>
  <r>
    <x v="248"/>
    <n v="4"/>
    <s v="Unlock"/>
    <x v="27"/>
    <n v="2.98"/>
    <n v="2.0499999999999998"/>
    <n v="9.1300000000000008"/>
    <n v="6.65"/>
    <n v="7.52"/>
    <n v="7.5"/>
    <n v="1.64"/>
    <s v="Moderately High"/>
    <s v="Avg."/>
    <x v="0"/>
    <n v="7.4120000000000008"/>
    <n v="7.0750000000000002"/>
    <n v="4.58"/>
    <n v="40.966000000000001"/>
    <n v="313"/>
  </r>
  <r>
    <x v="249"/>
    <n v="4"/>
    <s v="Unlock"/>
    <x v="27"/>
    <n v="0.83"/>
    <n v="-0.06"/>
    <n v="8.41"/>
    <n v="5.12"/>
    <n v="8.7100000000000009"/>
    <n v="7.24"/>
    <n v="1.73"/>
    <s v="Moderately High"/>
    <s v="Above Avg."/>
    <x v="0"/>
    <n v="7.7190000000000012"/>
    <n v="6.18"/>
    <n v="5.2200000000000006"/>
    <n v="40.737000000000002"/>
    <n v="317"/>
  </r>
  <r>
    <x v="250"/>
    <n v="5"/>
    <s v="Unlock"/>
    <x v="27"/>
    <n v="4.6100000000000003"/>
    <n v="2.54"/>
    <n v="9.4600000000000009"/>
    <n v="7.05"/>
    <n v="8.56"/>
    <n v="8.0500000000000007"/>
    <n v="1.78"/>
    <s v="High"/>
    <s v="Above Avg."/>
    <x v="0"/>
    <n v="8.0640000000000001"/>
    <n v="7.5500000000000007"/>
    <n v="5.17"/>
    <n v="44.462000000000003"/>
    <n v="297"/>
  </r>
  <r>
    <x v="251"/>
    <n v="4"/>
    <s v="Unlock"/>
    <x v="27"/>
    <n v="6.66"/>
    <n v="3.78"/>
    <n v="10.65"/>
    <n v="7.52"/>
    <n v="8.02"/>
    <n v="8.35"/>
    <n v="2.54"/>
    <s v="High"/>
    <s v="Above Avg."/>
    <x v="0"/>
    <n v="8.27"/>
    <n v="7.9349999999999996"/>
    <n v="5.2799999999999994"/>
    <n v="45.96"/>
    <n v="291"/>
  </r>
  <r>
    <x v="252"/>
    <n v="5"/>
    <s v="Unlock"/>
    <x v="27"/>
    <n v="6.85"/>
    <n v="5.35"/>
    <n v="8.1199999999999992"/>
    <n v="7.51"/>
    <n v="8"/>
    <n v="7.83"/>
    <n v="1.8"/>
    <s v="High"/>
    <s v="Avg."/>
    <x v="0"/>
    <n v="7.2479999999999993"/>
    <n v="7.67"/>
    <n v="4.9000000000000004"/>
    <n v="41.984000000000002"/>
    <n v="305"/>
  </r>
  <r>
    <x v="253"/>
    <n v="5"/>
    <s v="Unlock"/>
    <x v="27"/>
    <n v="4.8"/>
    <n v="4.03"/>
    <n v="10.36"/>
    <n v="8.0299999999999994"/>
    <m/>
    <m/>
    <n v="0.62"/>
    <s v="Moderately High"/>
    <s v="High"/>
    <x v="0"/>
    <n v="4.1440000000000001"/>
    <n v="4.0149999999999997"/>
    <n v="0.31"/>
    <n v="20.771999999999998"/>
    <n v="575"/>
  </r>
  <r>
    <x v="254"/>
    <n v="5"/>
    <s v="Unlock"/>
    <x v="27"/>
    <n v="4.71"/>
    <n v="5.18"/>
    <n v="11.87"/>
    <n v="8.4"/>
    <n v="11.2"/>
    <n v="9.86"/>
    <n v="1.25"/>
    <s v="Moderately High"/>
    <s v="High"/>
    <x v="0"/>
    <n v="10.347999999999999"/>
    <n v="9.129999999999999"/>
    <n v="6.2249999999999996"/>
    <n v="55.528999999999996"/>
    <n v="264"/>
  </r>
  <r>
    <x v="255"/>
    <n v="4"/>
    <s v="Unlock"/>
    <x v="27"/>
    <n v="5.17"/>
    <n v="3.87"/>
    <n v="9.31"/>
    <n v="6.91"/>
    <n v="9.06"/>
    <n v="8.14"/>
    <n v="1.5"/>
    <s v="High"/>
    <s v="High"/>
    <x v="0"/>
    <n v="8.2540000000000013"/>
    <n v="7.5250000000000004"/>
    <n v="5.28"/>
    <n v="45.092000000000006"/>
    <n v="295"/>
  </r>
  <r>
    <x v="256"/>
    <n v="4"/>
    <s v="Unlock"/>
    <x v="28"/>
    <n v="1.98"/>
    <n v="0.84"/>
    <n v="9.2799999999999994"/>
    <n v="6.13"/>
    <n v="8.23"/>
    <n v="7.43"/>
    <n v="1.94"/>
    <s v="Moderate"/>
    <s v="Avg."/>
    <x v="0"/>
    <n v="7.827"/>
    <n v="6.7799999999999994"/>
    <n v="5.085"/>
    <n v="42.125999999999998"/>
    <n v="303"/>
  </r>
  <r>
    <x v="257"/>
    <n v="5"/>
    <s v="Unlock"/>
    <x v="28"/>
    <n v="7.32"/>
    <n v="5.76"/>
    <n v="11"/>
    <n v="8.67"/>
    <n v="9.34"/>
    <n v="9.18"/>
    <n v="2.1"/>
    <s v="Moderate"/>
    <s v="Above Avg."/>
    <x v="0"/>
    <n v="9.07"/>
    <n v="8.9250000000000007"/>
    <n v="5.72"/>
    <n v="50.78"/>
    <n v="279"/>
  </r>
  <r>
    <x v="258"/>
    <n v="4"/>
    <s v="Unlock"/>
    <x v="28"/>
    <n v="12.29"/>
    <n v="10.69"/>
    <n v="13.62"/>
    <n v="10.62"/>
    <n v="11.46"/>
    <n v="11.25"/>
    <n v="5.53"/>
    <s v="Moderately High"/>
    <s v="High"/>
    <x v="0"/>
    <n v="11.178000000000001"/>
    <n v="10.934999999999999"/>
    <n v="8.495000000000001"/>
    <n v="63.899000000000001"/>
    <n v="216"/>
  </r>
  <r>
    <x v="259"/>
    <n v="5"/>
    <s v="Unlock"/>
    <x v="28"/>
    <n v="3.8"/>
    <n v="1.42"/>
    <n v="7.8"/>
    <n v="5.72"/>
    <n v="7.48"/>
    <n v="6.84"/>
    <n v="5.28"/>
    <s v="Moderate"/>
    <s v="Below Avg."/>
    <x v="0"/>
    <n v="6.86"/>
    <n v="6.2799999999999994"/>
    <n v="6.3800000000000008"/>
    <n v="39.520000000000003"/>
    <n v="327"/>
  </r>
  <r>
    <x v="260"/>
    <n v="4"/>
    <s v="Unlock"/>
    <x v="28"/>
    <n v="6.5"/>
    <n v="4.74"/>
    <n v="10.74"/>
    <n v="7.65"/>
    <n v="10.039999999999999"/>
    <n v="9.17"/>
    <n v="1.8"/>
    <s v="Moderately High"/>
    <s v="High"/>
    <x v="0"/>
    <n v="9.3159999999999989"/>
    <n v="8.41"/>
    <n v="5.92"/>
    <n v="50.688000000000002"/>
    <n v="281"/>
  </r>
  <r>
    <x v="261"/>
    <n v="4"/>
    <s v="Unlock"/>
    <x v="28"/>
    <n v="3.81"/>
    <n v="2.31"/>
    <n v="9.5399999999999991"/>
    <n v="6.36"/>
    <n v="9.23"/>
    <n v="8.16"/>
    <n v="1.72"/>
    <s v="Moderately High"/>
    <s v="Above Avg."/>
    <x v="0"/>
    <n v="8.4310000000000009"/>
    <n v="7.26"/>
    <n v="5.4750000000000005"/>
    <n v="45.288000000000004"/>
    <n v="293"/>
  </r>
  <r>
    <x v="262"/>
    <n v="4"/>
    <s v="Unlock"/>
    <x v="29"/>
    <n v="5.78"/>
    <n v="5.82"/>
    <n v="6.87"/>
    <n v="6.55"/>
    <n v="5.89"/>
    <n v="6.44"/>
    <n v="1.81"/>
    <s v="Low"/>
    <s v="Above Avg."/>
    <x v="0"/>
    <n v="5.6929999999999996"/>
    <n v="6.4950000000000001"/>
    <n v="3.8499999999999996"/>
    <n v="33.919000000000004"/>
    <n v="436"/>
  </r>
  <r>
    <x v="263"/>
    <n v="4"/>
    <s v="Unlock"/>
    <x v="29"/>
    <n v="5.77"/>
    <n v="5.85"/>
    <n v="6.81"/>
    <n v="6.53"/>
    <n v="5.9"/>
    <n v="6.4"/>
    <n v="2.5099999999999998"/>
    <s v="Low"/>
    <s v="Avg."/>
    <x v="0"/>
    <n v="5.6740000000000004"/>
    <n v="6.4649999999999999"/>
    <n v="4.2050000000000001"/>
    <n v="34.157000000000004"/>
    <n v="416"/>
  </r>
  <r>
    <x v="264"/>
    <n v="4"/>
    <s v="Unlock"/>
    <x v="29"/>
    <n v="5.84"/>
    <n v="5.92"/>
    <n v="6.92"/>
    <n v="6.6"/>
    <n v="5.93"/>
    <n v="6.49"/>
    <n v="7.31"/>
    <s v="Low"/>
    <s v="Above Avg."/>
    <x v="0"/>
    <n v="5.7330000000000005"/>
    <n v="6.5449999999999999"/>
    <n v="6.6199999999999992"/>
    <n v="36.908999999999999"/>
    <n v="343"/>
  </r>
  <r>
    <x v="265"/>
    <n v="4"/>
    <s v="Unlock"/>
    <x v="29"/>
    <n v="5.84"/>
    <n v="5.91"/>
    <n v="6.92"/>
    <n v="6.61"/>
    <n v="5.97"/>
    <n v="6.5"/>
    <n v="4.6500000000000004"/>
    <s v="Low"/>
    <s v="Above Avg."/>
    <x v="0"/>
    <n v="5.7530000000000001"/>
    <n v="6.5549999999999997"/>
    <n v="5.3100000000000005"/>
    <n v="35.679000000000002"/>
    <n v="369"/>
  </r>
  <r>
    <x v="266"/>
    <n v="5"/>
    <s v="Unlock"/>
    <x v="29"/>
    <n v="5.9"/>
    <n v="5.95"/>
    <n v="6.96"/>
    <n v="6.62"/>
    <n v="6.15"/>
    <n v="6.62"/>
    <n v="3.97"/>
    <s v="Low"/>
    <s v="Above Avg."/>
    <x v="0"/>
    <n v="5.859"/>
    <n v="6.62"/>
    <n v="5.0600000000000005"/>
    <n v="35.877000000000002"/>
    <n v="357"/>
  </r>
  <r>
    <x v="267"/>
    <n v="4"/>
    <s v="Unlock"/>
    <x v="29"/>
    <n v="5.85"/>
    <n v="5.94"/>
    <n v="7.06"/>
    <n v="6.69"/>
    <n v="6.14"/>
    <n v="6.64"/>
    <n v="3.34"/>
    <s v="Low"/>
    <s v="High"/>
    <x v="0"/>
    <n v="5.8940000000000001"/>
    <n v="6.665"/>
    <n v="4.74"/>
    <n v="35.752000000000002"/>
    <n v="361"/>
  </r>
  <r>
    <x v="268"/>
    <n v="5"/>
    <s v="Unlock"/>
    <x v="29"/>
    <n v="5.95"/>
    <n v="5.93"/>
    <n v="6.99"/>
    <n v="6.63"/>
    <n v="6.15"/>
    <n v="6.61"/>
    <n v="2.3199999999999998"/>
    <s v="Low"/>
    <s v="High"/>
    <x v="0"/>
    <n v="5.8710000000000004"/>
    <n v="6.62"/>
    <n v="4.2350000000000003"/>
    <n v="35.088000000000001"/>
    <n v="391"/>
  </r>
  <r>
    <x v="269"/>
    <n v="4"/>
    <s v="Unlock"/>
    <x v="29"/>
    <n v="5.84"/>
    <n v="5.89"/>
    <n v="6.85"/>
    <n v="6.56"/>
    <n v="5.86"/>
    <n v="6.43"/>
    <n v="1.91"/>
    <s v="Low"/>
    <s v="Avg."/>
    <x v="0"/>
    <n v="5.67"/>
    <n v="6.4949999999999992"/>
    <n v="3.8850000000000002"/>
    <n v="33.884999999999998"/>
    <n v="438"/>
  </r>
  <r>
    <x v="270"/>
    <n v="4"/>
    <s v="Unlock"/>
    <x v="29"/>
    <n v="5.89"/>
    <n v="5.93"/>
    <n v="7"/>
    <n v="6.68"/>
    <n v="5.98"/>
    <n v="6.54"/>
    <n v="2.38"/>
    <s v="Low"/>
    <s v="Above Avg."/>
    <x v="0"/>
    <n v="5.7900000000000009"/>
    <n v="6.6099999999999994"/>
    <n v="4.18"/>
    <n v="34.770000000000003"/>
    <n v="403"/>
  </r>
  <r>
    <x v="271"/>
    <n v="4"/>
    <s v="Unlock"/>
    <x v="30"/>
    <n v="5.18"/>
    <n v="3.19"/>
    <n v="12.25"/>
    <n v="8.42"/>
    <n v="10.36"/>
    <n v="9.7899999999999991"/>
    <n v="1.76"/>
    <s v="Very High"/>
    <s v="Above Avg."/>
    <x v="0"/>
    <n v="10.08"/>
    <n v="9.1050000000000004"/>
    <n v="6.06"/>
    <n v="54.510000000000005"/>
    <n v="271"/>
  </r>
  <r>
    <x v="272"/>
    <n v="4"/>
    <s v="Unlock"/>
    <x v="30"/>
    <n v="2.09"/>
    <n v="-0.09"/>
    <n v="13.22"/>
    <n v="7.52"/>
    <n v="10.67"/>
    <n v="9.59"/>
    <n v="1.93"/>
    <s v="Very High"/>
    <s v="Above Avg."/>
    <x v="0"/>
    <n v="10.623000000000001"/>
    <n v="8.5549999999999997"/>
    <n v="6.3"/>
    <n v="55.278999999999996"/>
    <n v="266"/>
  </r>
  <r>
    <x v="273"/>
    <n v="4"/>
    <s v="Unlock"/>
    <x v="30"/>
    <n v="4.2699999999999996"/>
    <n v="1.9"/>
    <n v="11.58"/>
    <n v="7.54"/>
    <n v="8.5299999999999994"/>
    <n v="8.65"/>
    <n v="1.93"/>
    <s v="Moderately High"/>
    <s v="Avg."/>
    <x v="0"/>
    <n v="8.8970000000000002"/>
    <n v="8.0950000000000006"/>
    <n v="5.2299999999999995"/>
    <n v="48.110999999999997"/>
    <n v="285"/>
  </r>
  <r>
    <x v="274"/>
    <n v="4"/>
    <s v="Unlock"/>
    <x v="30"/>
    <n v="1.02"/>
    <n v="-1.96"/>
    <n v="11.51"/>
    <n v="5.6"/>
    <m/>
    <m/>
    <n v="2.14"/>
    <s v="Very High"/>
    <s v="Avg."/>
    <x v="0"/>
    <n v="4.6040000000000001"/>
    <n v="2.8"/>
    <n v="1.07"/>
    <n v="20.481999999999999"/>
    <n v="577"/>
  </r>
  <r>
    <x v="275"/>
    <n v="5"/>
    <s v="Unlock"/>
    <x v="30"/>
    <n v="1.21"/>
    <n v="-1.56"/>
    <n v="11.76"/>
    <n v="5.71"/>
    <n v="13.24"/>
    <n v="9.25"/>
    <n v="1.99"/>
    <s v="High"/>
    <s v="High"/>
    <x v="0"/>
    <n v="11.324"/>
    <n v="7.48"/>
    <n v="7.6150000000000002"/>
    <n v="56.547000000000004"/>
    <n v="252"/>
  </r>
  <r>
    <x v="276"/>
    <n v="5"/>
    <s v="Unlock"/>
    <x v="30"/>
    <n v="2.52"/>
    <n v="-1.1299999999999999"/>
    <n v="15.39"/>
    <n v="7.48"/>
    <n v="17.03"/>
    <n v="13.08"/>
    <n v="1.27"/>
    <s v="Very High"/>
    <s v="High"/>
    <x v="0"/>
    <n v="14.671000000000001"/>
    <n v="10.280000000000001"/>
    <n v="9.15"/>
    <n v="73.723000000000013"/>
    <n v="172"/>
  </r>
  <r>
    <x v="277"/>
    <n v="4"/>
    <s v="Unlock"/>
    <x v="30"/>
    <n v="5.82"/>
    <n v="2.13"/>
    <n v="12.19"/>
    <n v="8.4499999999999993"/>
    <n v="11.2"/>
    <n v="10.19"/>
    <n v="2.19"/>
    <s v="Very High"/>
    <s v="Above Avg."/>
    <x v="0"/>
    <n v="10.475999999999999"/>
    <n v="9.32"/>
    <n v="6.6949999999999994"/>
    <n v="56.762999999999998"/>
    <n v="248"/>
  </r>
  <r>
    <x v="278"/>
    <n v="4"/>
    <s v="Unlock"/>
    <x v="30"/>
    <n v="5.2"/>
    <n v="2.42"/>
    <n v="11.46"/>
    <n v="7.27"/>
    <m/>
    <m/>
    <n v="2.06"/>
    <s v="Very High"/>
    <s v="Avg."/>
    <x v="0"/>
    <n v="4.5840000000000005"/>
    <n v="3.6349999999999998"/>
    <n v="1.03"/>
    <n v="22.052000000000003"/>
    <n v="572"/>
  </r>
  <r>
    <x v="279"/>
    <n v="4"/>
    <s v="Unlock"/>
    <x v="30"/>
    <n v="3.58"/>
    <n v="1.38"/>
    <n v="11.73"/>
    <n v="6.97"/>
    <n v="10.27"/>
    <n v="8.99"/>
    <n v="2.37"/>
    <s v="Very High"/>
    <s v="Avg."/>
    <x v="0"/>
    <n v="9.827"/>
    <n v="7.98"/>
    <n v="6.32"/>
    <n v="51.761000000000003"/>
    <n v="277"/>
  </r>
  <r>
    <x v="280"/>
    <n v="4"/>
    <s v="Unlock"/>
    <x v="30"/>
    <n v="1.19"/>
    <n v="-1.41"/>
    <n v="16.760000000000002"/>
    <n v="6.67"/>
    <m/>
    <m/>
    <n v="2.5"/>
    <s v="Very High"/>
    <s v="High"/>
    <x v="0"/>
    <n v="6.7040000000000006"/>
    <n v="3.335"/>
    <n v="1.25"/>
    <n v="28.032000000000004"/>
    <n v="556"/>
  </r>
  <r>
    <x v="281"/>
    <n v="5"/>
    <s v="Unlock"/>
    <x v="30"/>
    <n v="4.83"/>
    <n v="2.75"/>
    <n v="12.29"/>
    <n v="7.89"/>
    <m/>
    <m/>
    <n v="1.53"/>
    <s v="Very High"/>
    <s v="Above Avg."/>
    <x v="0"/>
    <n v="4.9160000000000004"/>
    <n v="3.9449999999999998"/>
    <n v="0.76500000000000001"/>
    <n v="23.403000000000002"/>
    <n v="570"/>
  </r>
  <r>
    <x v="282"/>
    <n v="4"/>
    <s v="Unlock"/>
    <x v="31"/>
    <n v="6.76"/>
    <n v="3.26"/>
    <n v="14.49"/>
    <n v="10.3"/>
    <m/>
    <m/>
    <n v="1.1599999999999999"/>
    <s v="High"/>
    <s v="Below Avg."/>
    <x v="0"/>
    <n v="5.7960000000000003"/>
    <n v="5.15"/>
    <n v="0.57999999999999996"/>
    <n v="28.268000000000001"/>
    <n v="548"/>
  </r>
  <r>
    <x v="283"/>
    <n v="5"/>
    <s v="Unlock"/>
    <x v="31"/>
    <n v="9.1"/>
    <n v="5.29"/>
    <n v="17.68"/>
    <n v="12.53"/>
    <n v="18.850000000000001"/>
    <n v="15.66"/>
    <n v="2.37"/>
    <s v="Very High"/>
    <s v="Above Avg."/>
    <x v="0"/>
    <n v="16.497"/>
    <n v="14.094999999999999"/>
    <n v="10.610000000000001"/>
    <n v="88.290999999999997"/>
    <n v="87"/>
  </r>
  <r>
    <x v="284"/>
    <n v="4"/>
    <s v="Unlock"/>
    <x v="31"/>
    <n v="18.78"/>
    <n v="14.36"/>
    <n v="20.37"/>
    <n v="17.03"/>
    <n v="16.13"/>
    <n v="16.809999999999999"/>
    <n v="1.34"/>
    <s v="Very High"/>
    <s v="Above Avg."/>
    <x v="0"/>
    <n v="16.213000000000001"/>
    <n v="16.920000000000002"/>
    <n v="8.7349999999999994"/>
    <n v="91.214000000000013"/>
    <n v="79"/>
  </r>
  <r>
    <x v="285"/>
    <n v="4"/>
    <s v="Unlock"/>
    <x v="31"/>
    <n v="13.12"/>
    <n v="10.08"/>
    <n v="19.52"/>
    <n v="14.58"/>
    <n v="17.059999999999999"/>
    <n v="16.25"/>
    <n v="1.07"/>
    <s v="Very High"/>
    <s v="Above Avg."/>
    <x v="0"/>
    <n v="16.338000000000001"/>
    <n v="15.414999999999999"/>
    <n v="9.0649999999999995"/>
    <n v="88.908999999999992"/>
    <n v="85"/>
  </r>
  <r>
    <x v="286"/>
    <n v="5"/>
    <s v="Unlock"/>
    <x v="31"/>
    <n v="20.86"/>
    <n v="17.73"/>
    <n v="22.37"/>
    <n v="18.37"/>
    <n v="21.48"/>
    <n v="19.28"/>
    <n v="2.57"/>
    <s v="High"/>
    <s v="High"/>
    <x v="0"/>
    <n v="19.688000000000002"/>
    <n v="18.825000000000003"/>
    <n v="12.025"/>
    <n v="108.73900000000002"/>
    <n v="37"/>
  </r>
  <r>
    <x v="287"/>
    <n v="4"/>
    <s v="Unlock"/>
    <x v="31"/>
    <n v="16.78"/>
    <n v="13.15"/>
    <n v="17.75"/>
    <n v="14.58"/>
    <n v="14.55"/>
    <n v="14.92"/>
    <n v="1.84"/>
    <s v="Very High"/>
    <s v="Above Avg."/>
    <x v="0"/>
    <n v="14.375"/>
    <n v="14.75"/>
    <n v="8.1950000000000003"/>
    <n v="80.819999999999993"/>
    <n v="126"/>
  </r>
  <r>
    <x v="288"/>
    <n v="4"/>
    <s v="Unlock"/>
    <x v="32"/>
    <n v="55.7"/>
    <n v="54.17"/>
    <n v="33.520000000000003"/>
    <n v="44.04"/>
    <n v="24.54"/>
    <n v="32.729999999999997"/>
    <n v="0.48"/>
    <s v="Very High"/>
    <s v="Below Avg."/>
    <x v="0"/>
    <n v="25.678000000000001"/>
    <n v="38.384999999999998"/>
    <n v="12.51"/>
    <n v="166.31399999999999"/>
    <n v="5"/>
  </r>
  <r>
    <x v="289"/>
    <n v="4"/>
    <s v="Unlock"/>
    <x v="32"/>
    <n v="56"/>
    <n v="53.89"/>
    <n v="33.71"/>
    <n v="44.49"/>
    <n v="24.7"/>
    <n v="32.950000000000003"/>
    <n v="0.51"/>
    <s v="High"/>
    <s v="Avg."/>
    <x v="0"/>
    <n v="25.834000000000003"/>
    <n v="38.72"/>
    <n v="12.605"/>
    <n v="167.547"/>
    <n v="3"/>
  </r>
  <r>
    <x v="290"/>
    <n v="4"/>
    <s v="Unlock"/>
    <x v="32"/>
    <n v="56.08"/>
    <n v="54.16"/>
    <n v="33.76"/>
    <n v="44.55"/>
    <n v="24.72"/>
    <n v="33.01"/>
    <n v="0.42"/>
    <s v="High"/>
    <s v="Avg."/>
    <x v="0"/>
    <n v="25.863999999999997"/>
    <n v="38.78"/>
    <n v="12.57"/>
    <n v="167.72199999999998"/>
    <n v="1"/>
  </r>
  <r>
    <x v="291"/>
    <n v="4"/>
    <s v="Unlock"/>
    <x v="32"/>
    <n v="53.31"/>
    <n v="51.94"/>
    <m/>
    <m/>
    <m/>
    <m/>
    <n v="0.68"/>
    <s v="High"/>
    <s v="Below Avg."/>
    <x v="0"/>
    <n v="0"/>
    <n v="0"/>
    <n v="0.34"/>
    <n v="0.34"/>
    <n v="583"/>
  </r>
  <r>
    <x v="292"/>
    <n v="4"/>
    <s v="Unlock"/>
    <x v="32"/>
    <n v="55.76"/>
    <n v="54.35"/>
    <n v="33.82"/>
    <n v="44.66"/>
    <m/>
    <m/>
    <n v="0.53"/>
    <s v="High"/>
    <s v="Avg."/>
    <x v="0"/>
    <n v="13.528"/>
    <n v="22.33"/>
    <n v="0.26500000000000001"/>
    <n v="85.509"/>
    <n v="110"/>
  </r>
  <r>
    <x v="0"/>
    <n v="4"/>
    <s v="Unlock"/>
    <x v="0"/>
    <n v="-0.47"/>
    <n v="-6.31"/>
    <n v="13.07"/>
    <n v="5.14"/>
    <n v="12.5"/>
    <n v="9.15"/>
    <n v="1.58"/>
    <s v="Very High"/>
    <s v="Above Avg."/>
    <x v="1"/>
    <n v="11.478000000000002"/>
    <n v="7.1449999999999996"/>
    <n v="7.04"/>
    <n v="55.764000000000003"/>
    <n v="256"/>
  </r>
  <r>
    <x v="1"/>
    <n v="4"/>
    <s v="Unlock"/>
    <x v="0"/>
    <n v="6.69"/>
    <n v="2.58"/>
    <n v="15.81"/>
    <n v="8.65"/>
    <m/>
    <m/>
    <n v="1.1000000000000001"/>
    <s v="Very High"/>
    <s v="Above Avg."/>
    <x v="1"/>
    <n v="6.3240000000000007"/>
    <n v="4.3250000000000002"/>
    <n v="0.55000000000000004"/>
    <n v="28.172000000000001"/>
    <n v="554"/>
  </r>
  <r>
    <x v="2"/>
    <n v="4"/>
    <s v="Unlock"/>
    <x v="0"/>
    <n v="8.1199999999999992"/>
    <n v="6.8"/>
    <n v="20.350000000000001"/>
    <n v="10.29"/>
    <m/>
    <m/>
    <n v="0.89"/>
    <s v="Very High"/>
    <s v="Above Avg."/>
    <x v="1"/>
    <n v="8.14"/>
    <n v="5.1449999999999996"/>
    <n v="0.44500000000000001"/>
    <n v="35.155000000000001"/>
    <n v="389"/>
  </r>
  <r>
    <x v="3"/>
    <n v="4"/>
    <s v="Unlock"/>
    <x v="0"/>
    <n v="2.79"/>
    <n v="-2.89"/>
    <n v="14.78"/>
    <n v="7.14"/>
    <n v="12.89"/>
    <n v="10.4"/>
    <n v="2.2400000000000002"/>
    <s v="Very High"/>
    <s v="Above Avg."/>
    <x v="1"/>
    <n v="12.356999999999999"/>
    <n v="8.77"/>
    <n v="7.5650000000000004"/>
    <n v="62.175999999999995"/>
    <n v="226"/>
  </r>
  <r>
    <x v="4"/>
    <n v="4"/>
    <s v="Unlock"/>
    <x v="0"/>
    <n v="2.57"/>
    <n v="-0.27"/>
    <n v="14.44"/>
    <n v="6.72"/>
    <n v="13.07"/>
    <n v="10.53"/>
    <n v="2"/>
    <s v="Very High"/>
    <s v="Above Avg."/>
    <x v="1"/>
    <n v="12.311"/>
    <n v="8.625"/>
    <n v="7.5350000000000001"/>
    <n v="61.718000000000004"/>
    <n v="230"/>
  </r>
  <r>
    <x v="5"/>
    <n v="4"/>
    <s v="Unlock"/>
    <x v="0"/>
    <n v="-1.43"/>
    <n v="-6.93"/>
    <n v="12.6"/>
    <n v="4.99"/>
    <n v="11.37"/>
    <n v="8.7100000000000009"/>
    <n v="1.75"/>
    <s v="Very High"/>
    <s v="Avg."/>
    <x v="1"/>
    <n v="10.725"/>
    <n v="6.8500000000000005"/>
    <n v="6.56"/>
    <n v="52.435000000000002"/>
    <n v="275"/>
  </r>
  <r>
    <x v="6"/>
    <n v="5"/>
    <s v="Unlock"/>
    <x v="0"/>
    <n v="-2.41"/>
    <n v="-6.84"/>
    <n v="15.09"/>
    <n v="6.23"/>
    <n v="12.28"/>
    <n v="10.35"/>
    <n v="2.52"/>
    <s v="Very High"/>
    <s v="Above Avg."/>
    <x v="1"/>
    <n v="12.176"/>
    <n v="8.2899999999999991"/>
    <n v="7.3999999999999995"/>
    <n v="60.507999999999996"/>
    <n v="236"/>
  </r>
  <r>
    <x v="7"/>
    <n v="5"/>
    <s v="Unlock"/>
    <x v="0"/>
    <n v="6.81"/>
    <n v="2.67"/>
    <n v="15.95"/>
    <n v="8.77"/>
    <n v="14.83"/>
    <n v="12.24"/>
    <n v="0.95"/>
    <s v="Very High"/>
    <s v="Above Avg."/>
    <x v="1"/>
    <n v="13.795"/>
    <n v="10.504999999999999"/>
    <n v="7.89"/>
    <n v="70.284999999999997"/>
    <n v="192"/>
  </r>
  <r>
    <x v="8"/>
    <n v="4"/>
    <s v="Unlock"/>
    <x v="0"/>
    <n v="8.35"/>
    <n v="6.86"/>
    <n v="20.83"/>
    <n v="10.65"/>
    <n v="15.1"/>
    <n v="13.33"/>
    <n v="0.98"/>
    <s v="Very High"/>
    <s v="High"/>
    <x v="1"/>
    <n v="15.881999999999998"/>
    <n v="11.99"/>
    <n v="8.0399999999999991"/>
    <n v="79.665999999999997"/>
    <n v="132"/>
  </r>
  <r>
    <x v="9"/>
    <n v="4"/>
    <s v="Unlock"/>
    <x v="0"/>
    <n v="-0.09"/>
    <n v="-5.13"/>
    <n v="12.29"/>
    <n v="4.59"/>
    <n v="12.11"/>
    <n v="9"/>
    <n v="2.12"/>
    <s v="Very High"/>
    <s v="Avg."/>
    <x v="1"/>
    <n v="10.971"/>
    <n v="6.7949999999999999"/>
    <n v="7.1150000000000002"/>
    <n v="53.618000000000002"/>
    <n v="273"/>
  </r>
  <r>
    <x v="10"/>
    <n v="5"/>
    <s v="Unlock"/>
    <x v="0"/>
    <n v="-1.59"/>
    <n v="-6.6"/>
    <n v="12.48"/>
    <n v="3.95"/>
    <n v="13.84"/>
    <n v="9.59"/>
    <n v="1.58"/>
    <s v="Very High"/>
    <s v="Above Avg."/>
    <x v="1"/>
    <n v="11.912000000000001"/>
    <n v="6.77"/>
    <n v="7.71"/>
    <n v="56.986000000000004"/>
    <n v="246"/>
  </r>
  <r>
    <x v="11"/>
    <n v="4"/>
    <s v="Unlock"/>
    <x v="0"/>
    <n v="7.88"/>
    <n v="4.9000000000000004"/>
    <n v="18.079999999999998"/>
    <n v="9.68"/>
    <m/>
    <m/>
    <n v="0.88"/>
    <s v="Very High"/>
    <s v="Above Avg."/>
    <x v="1"/>
    <n v="7.2319999999999993"/>
    <n v="4.84"/>
    <n v="0.44"/>
    <n v="31.815999999999999"/>
    <n v="504"/>
  </r>
  <r>
    <x v="12"/>
    <n v="5"/>
    <s v="Unlock"/>
    <x v="0"/>
    <n v="6.85"/>
    <n v="2.71"/>
    <n v="16.02"/>
    <n v="8.85"/>
    <m/>
    <m/>
    <n v="1"/>
    <s v="Very High"/>
    <s v="Above Avg."/>
    <x v="1"/>
    <n v="6.4080000000000004"/>
    <n v="4.4249999999999998"/>
    <n v="0.5"/>
    <n v="28.573999999999998"/>
    <n v="546"/>
  </r>
  <r>
    <x v="13"/>
    <n v="5"/>
    <s v="Unlock"/>
    <x v="0"/>
    <n v="17.399999999999999"/>
    <n v="18.98"/>
    <n v="25.53"/>
    <n v="16.37"/>
    <n v="28"/>
    <n v="23.73"/>
    <n v="0.14000000000000001"/>
    <s v="Very High"/>
    <s v="High"/>
    <x v="1"/>
    <n v="24.212000000000003"/>
    <n v="20.05"/>
    <n v="14.07"/>
    <n v="126.80600000000001"/>
    <n v="7"/>
  </r>
  <r>
    <x v="14"/>
    <n v="5"/>
    <s v="Unlock"/>
    <x v="0"/>
    <n v="7.0000000000000007E-2"/>
    <n v="-5.94"/>
    <n v="15.26"/>
    <n v="6.51"/>
    <n v="14.67"/>
    <n v="11.25"/>
    <n v="3.59"/>
    <s v="Very High"/>
    <s v="Above Avg."/>
    <x v="1"/>
    <n v="13.439"/>
    <n v="8.879999999999999"/>
    <n v="9.129999999999999"/>
    <n v="67.206999999999994"/>
    <n v="202"/>
  </r>
  <r>
    <x v="15"/>
    <n v="4"/>
    <s v="Unlock"/>
    <x v="0"/>
    <n v="1.08"/>
    <n v="-4.13"/>
    <n v="13.56"/>
    <n v="5.49"/>
    <n v="12.11"/>
    <n v="9.43"/>
    <n v="0.57999999999999996"/>
    <s v="Very High"/>
    <s v="Avg."/>
    <x v="1"/>
    <n v="11.478999999999999"/>
    <n v="7.46"/>
    <n v="6.3449999999999998"/>
    <n v="55.701999999999998"/>
    <n v="258"/>
  </r>
  <r>
    <x v="16"/>
    <n v="4"/>
    <s v="Unlock"/>
    <x v="0"/>
    <n v="6.65"/>
    <n v="2.5299999999999998"/>
    <n v="15.8"/>
    <n v="8.67"/>
    <m/>
    <m/>
    <n v="1.25"/>
    <s v="Very High"/>
    <s v="Above Avg."/>
    <x v="1"/>
    <n v="6.32"/>
    <n v="4.335"/>
    <n v="0.625"/>
    <n v="28.255000000000003"/>
    <n v="552"/>
  </r>
  <r>
    <x v="17"/>
    <n v="4"/>
    <s v="Unlock"/>
    <x v="0"/>
    <n v="2.12"/>
    <n v="-3.12"/>
    <n v="15.53"/>
    <n v="7"/>
    <n v="13.55"/>
    <n v="10.5"/>
    <n v="2.08"/>
    <s v="Very High"/>
    <s v="Above Avg."/>
    <x v="1"/>
    <n v="12.987"/>
    <n v="8.75"/>
    <n v="7.8150000000000004"/>
    <n v="64.275999999999996"/>
    <n v="212"/>
  </r>
  <r>
    <x v="18"/>
    <n v="4"/>
    <s v="Unlock"/>
    <x v="0"/>
    <n v="0.86"/>
    <n v="-5.19"/>
    <n v="12.92"/>
    <n v="5.64"/>
    <n v="12.12"/>
    <n v="9.24"/>
    <n v="1.89"/>
    <s v="Very High"/>
    <s v="Avg."/>
    <x v="1"/>
    <n v="11.228"/>
    <n v="7.4399999999999995"/>
    <n v="7.0049999999999999"/>
    <n v="55.568999999999996"/>
    <n v="262"/>
  </r>
  <r>
    <x v="19"/>
    <n v="4"/>
    <s v="Unlock"/>
    <x v="0"/>
    <n v="8.33"/>
    <n v="6.98"/>
    <n v="20.72"/>
    <n v="10.66"/>
    <n v="15.03"/>
    <n v="13.29"/>
    <n v="0.9"/>
    <s v="Very High"/>
    <s v="High"/>
    <x v="1"/>
    <n v="15.803000000000001"/>
    <n v="11.975"/>
    <n v="7.9649999999999999"/>
    <n v="79.324000000000012"/>
    <n v="134"/>
  </r>
  <r>
    <x v="20"/>
    <n v="4"/>
    <s v="Unlock"/>
    <x v="0"/>
    <n v="3.38"/>
    <n v="-1.33"/>
    <n v="14.48"/>
    <n v="6.77"/>
    <n v="13.29"/>
    <n v="10.45"/>
    <n v="0.11"/>
    <s v="Very High"/>
    <s v="Above Avg."/>
    <x v="1"/>
    <n v="12.437000000000001"/>
    <n v="8.61"/>
    <n v="6.6999999999999993"/>
    <n v="61.231000000000009"/>
    <n v="232"/>
  </r>
  <r>
    <x v="21"/>
    <n v="4"/>
    <s v="Unlock"/>
    <x v="0"/>
    <n v="7.86"/>
    <n v="6.38"/>
    <n v="20.48"/>
    <n v="10.34"/>
    <m/>
    <m/>
    <n v="1.07"/>
    <s v="Very High"/>
    <s v="Above Avg."/>
    <x v="1"/>
    <n v="8.1920000000000002"/>
    <n v="5.17"/>
    <n v="0.53500000000000003"/>
    <n v="35.450999999999993"/>
    <n v="383"/>
  </r>
  <r>
    <x v="22"/>
    <n v="5"/>
    <s v="Unlock"/>
    <x v="0"/>
    <n v="3.05"/>
    <n v="-3.29"/>
    <n v="16.16"/>
    <n v="7.34"/>
    <n v="17.079999999999998"/>
    <n v="12.88"/>
    <n v="2.08"/>
    <s v="Very High"/>
    <s v="Above Avg."/>
    <x v="1"/>
    <n v="15.004"/>
    <n v="10.11"/>
    <n v="9.5799999999999983"/>
    <n v="74.811999999999998"/>
    <n v="162"/>
  </r>
  <r>
    <x v="23"/>
    <n v="4"/>
    <s v="Unlock"/>
    <x v="0"/>
    <n v="9.02"/>
    <n v="7.57"/>
    <n v="21.18"/>
    <n v="11.12"/>
    <n v="15.23"/>
    <n v="13.65"/>
    <n v="0.3"/>
    <s v="Very High"/>
    <s v="High"/>
    <x v="1"/>
    <n v="16.087"/>
    <n v="12.385"/>
    <n v="7.7650000000000006"/>
    <n v="80.795999999999992"/>
    <n v="130"/>
  </r>
  <r>
    <x v="24"/>
    <n v="4"/>
    <s v="Unlock"/>
    <x v="0"/>
    <n v="2.3199999999999998"/>
    <n v="-2.17"/>
    <n v="12.03"/>
    <n v="6.1"/>
    <m/>
    <m/>
    <n v="1.47"/>
    <s v="Very High"/>
    <s v="Avg."/>
    <x v="1"/>
    <n v="4.8120000000000003"/>
    <n v="3.05"/>
    <n v="0.73499999999999999"/>
    <n v="21.271000000000001"/>
    <n v="574"/>
  </r>
  <r>
    <x v="25"/>
    <n v="5"/>
    <s v="Unlock"/>
    <x v="0"/>
    <n v="8.24"/>
    <n v="6.83"/>
    <n v="20.71"/>
    <n v="10.59"/>
    <m/>
    <m/>
    <n v="0.71"/>
    <s v="Very High"/>
    <s v="High"/>
    <x v="1"/>
    <n v="8.2840000000000007"/>
    <n v="5.2949999999999999"/>
    <n v="0.35499999999999998"/>
    <n v="35.797000000000004"/>
    <n v="359"/>
  </r>
  <r>
    <x v="26"/>
    <n v="4"/>
    <s v="Unlock"/>
    <x v="0"/>
    <n v="7.83"/>
    <n v="5.0199999999999996"/>
    <n v="17.79"/>
    <n v="9.5500000000000007"/>
    <n v="14.25"/>
    <n v="12.35"/>
    <n v="1.06"/>
    <s v="Very High"/>
    <s v="Above Avg."/>
    <x v="1"/>
    <n v="14.241"/>
    <n v="10.95"/>
    <n v="7.6550000000000002"/>
    <n v="72.277999999999992"/>
    <n v="182"/>
  </r>
  <r>
    <x v="27"/>
    <n v="4"/>
    <s v="Unlock"/>
    <x v="0"/>
    <n v="2.52"/>
    <n v="-1.62"/>
    <n v="13.25"/>
    <n v="6.04"/>
    <n v="12.53"/>
    <n v="9.59"/>
    <n v="2.33"/>
    <s v="Very High"/>
    <s v="Above Avg."/>
    <x v="1"/>
    <n v="11.565000000000001"/>
    <n v="7.8149999999999995"/>
    <n v="7.43"/>
    <n v="57.755000000000003"/>
    <n v="244"/>
  </r>
  <r>
    <x v="28"/>
    <n v="4"/>
    <s v="Unlock"/>
    <x v="0"/>
    <n v="1.28"/>
    <n v="-4.43"/>
    <n v="15.01"/>
    <n v="7.07"/>
    <m/>
    <m/>
    <n v="2.63"/>
    <s v="Very High"/>
    <s v="Above Avg."/>
    <x v="1"/>
    <n v="6.0040000000000004"/>
    <n v="3.5350000000000001"/>
    <n v="1.3149999999999999"/>
    <n v="26.397000000000002"/>
    <n v="566"/>
  </r>
  <r>
    <x v="29"/>
    <n v="5"/>
    <s v="Unlock"/>
    <x v="1"/>
    <n v="9.77"/>
    <n v="5.76"/>
    <n v="23.13"/>
    <n v="13.09"/>
    <n v="19.12"/>
    <n v="17.22"/>
    <n v="2.9"/>
    <s v="Very High"/>
    <s v="High"/>
    <x v="1"/>
    <n v="18.812000000000001"/>
    <n v="15.154999999999999"/>
    <n v="11.01"/>
    <n v="97.756000000000014"/>
    <n v="53"/>
  </r>
  <r>
    <x v="30"/>
    <n v="4"/>
    <s v="Unlock"/>
    <x v="1"/>
    <n v="1.71"/>
    <n v="-3"/>
    <n v="18.399999999999999"/>
    <n v="8.3000000000000007"/>
    <n v="15.02"/>
    <n v="12.74"/>
    <n v="2.12"/>
    <s v="Very High"/>
    <s v="Above Avg."/>
    <x v="1"/>
    <n v="14.87"/>
    <n v="10.52"/>
    <n v="8.57"/>
    <n v="74.22"/>
    <n v="166"/>
  </r>
  <r>
    <x v="31"/>
    <n v="4"/>
    <s v="Unlock"/>
    <x v="1"/>
    <n v="3.83"/>
    <n v="-2.27"/>
    <n v="17.899999999999999"/>
    <n v="7.49"/>
    <n v="17.559999999999999"/>
    <n v="13.3"/>
    <n v="1.59"/>
    <s v="Very High"/>
    <s v="Above Avg."/>
    <x v="1"/>
    <n v="15.94"/>
    <n v="10.395"/>
    <n v="9.5749999999999993"/>
    <n v="78.185000000000002"/>
    <n v="142"/>
  </r>
  <r>
    <x v="32"/>
    <n v="5"/>
    <s v="Unlock"/>
    <x v="1"/>
    <n v="4.76"/>
    <n v="-0.1"/>
    <n v="19.510000000000002"/>
    <n v="10.55"/>
    <n v="19.350000000000001"/>
    <n v="15.25"/>
    <n v="2.3199999999999998"/>
    <s v="Very High"/>
    <s v="Above Avg."/>
    <x v="1"/>
    <n v="17.479000000000003"/>
    <n v="12.9"/>
    <n v="10.835000000000001"/>
    <n v="89.072000000000003"/>
    <n v="83"/>
  </r>
  <r>
    <x v="33"/>
    <n v="4"/>
    <s v="Unlock"/>
    <x v="1"/>
    <n v="8.69"/>
    <n v="0.98"/>
    <n v="23.14"/>
    <n v="13.51"/>
    <n v="17.71"/>
    <n v="16.59"/>
    <n v="1.9"/>
    <s v="Very High"/>
    <s v="High"/>
    <x v="1"/>
    <n v="18.111000000000001"/>
    <n v="15.05"/>
    <n v="9.8049999999999997"/>
    <n v="94.238"/>
    <n v="61"/>
  </r>
  <r>
    <x v="34"/>
    <n v="4"/>
    <s v="Unlock"/>
    <x v="1"/>
    <n v="15.63"/>
    <n v="9.31"/>
    <n v="25.52"/>
    <n v="15.88"/>
    <n v="20.97"/>
    <n v="19.38"/>
    <n v="1.91"/>
    <s v="Very High"/>
    <s v="High"/>
    <x v="1"/>
    <n v="20.692999999999998"/>
    <n v="17.63"/>
    <n v="11.44"/>
    <n v="108.779"/>
    <n v="35"/>
  </r>
  <r>
    <x v="35"/>
    <n v="4"/>
    <s v="Unlock"/>
    <x v="1"/>
    <n v="3.77"/>
    <n v="-0.43"/>
    <n v="19.32"/>
    <n v="9.7200000000000006"/>
    <n v="16.649999999999999"/>
    <n v="13.98"/>
    <n v="1.8"/>
    <s v="Very High"/>
    <s v="Above Avg."/>
    <x v="1"/>
    <n v="16.053000000000001"/>
    <n v="11.850000000000001"/>
    <n v="9.2249999999999996"/>
    <n v="81.084000000000003"/>
    <n v="124"/>
  </r>
  <r>
    <x v="36"/>
    <n v="4"/>
    <s v="Unlock"/>
    <x v="1"/>
    <n v="7.36"/>
    <n v="1"/>
    <n v="16.09"/>
    <n v="9.1"/>
    <n v="16.53"/>
    <n v="12.82"/>
    <n v="1.72"/>
    <s v="Very High"/>
    <s v="Avg."/>
    <x v="1"/>
    <n v="14.701000000000001"/>
    <n v="10.96"/>
    <n v="9.125"/>
    <n v="75.147999999999996"/>
    <n v="156"/>
  </r>
  <r>
    <x v="37"/>
    <n v="5"/>
    <s v="Unlock"/>
    <x v="1"/>
    <n v="6.37"/>
    <n v="2.1"/>
    <n v="20.12"/>
    <n v="10.84"/>
    <n v="17.61"/>
    <n v="15.01"/>
    <n v="1.85"/>
    <s v="Very High"/>
    <s v="Above Avg."/>
    <x v="1"/>
    <n v="16.853000000000002"/>
    <n v="12.925000000000001"/>
    <n v="9.73"/>
    <n v="86.13900000000001"/>
    <n v="106"/>
  </r>
  <r>
    <x v="38"/>
    <n v="4"/>
    <s v="Unlock"/>
    <x v="2"/>
    <n v="6.66"/>
    <n v="2.86"/>
    <n v="17.36"/>
    <n v="10.210000000000001"/>
    <n v="13.7"/>
    <n v="12.34"/>
    <n v="1.6"/>
    <s v="Very High"/>
    <s v="Above Avg."/>
    <x v="1"/>
    <n v="13.794"/>
    <n v="11.275"/>
    <n v="7.6499999999999995"/>
    <n v="71.582000000000008"/>
    <n v="186"/>
  </r>
  <r>
    <x v="39"/>
    <n v="4"/>
    <s v="Unlock"/>
    <x v="2"/>
    <n v="14.82"/>
    <n v="11.25"/>
    <n v="21.8"/>
    <n v="12.44"/>
    <n v="18.510000000000002"/>
    <n v="16.03"/>
    <n v="2.96"/>
    <s v="Very High"/>
    <s v="High"/>
    <x v="1"/>
    <n v="17.975000000000001"/>
    <n v="14.234999999999999"/>
    <n v="10.735000000000001"/>
    <n v="93.13000000000001"/>
    <n v="71"/>
  </r>
  <r>
    <x v="40"/>
    <n v="4"/>
    <s v="Unlock"/>
    <x v="2"/>
    <n v="1.98"/>
    <n v="-6.64"/>
    <n v="14.93"/>
    <n v="6.59"/>
    <m/>
    <m/>
    <n v="2.09"/>
    <s v="Very High"/>
    <s v="Avg."/>
    <x v="1"/>
    <n v="5.9720000000000004"/>
    <n v="3.2949999999999999"/>
    <n v="1.0449999999999999"/>
    <n v="25.551000000000002"/>
    <n v="568"/>
  </r>
  <r>
    <x v="41"/>
    <n v="4"/>
    <s v="Unlock"/>
    <x v="2"/>
    <n v="4.7300000000000004"/>
    <n v="-0.41"/>
    <n v="17.16"/>
    <n v="8.5500000000000007"/>
    <n v="15.17"/>
    <n v="12.36"/>
    <n v="1.92"/>
    <s v="Very High"/>
    <s v="Above Avg."/>
    <x v="1"/>
    <n v="14.449000000000002"/>
    <n v="10.455"/>
    <n v="8.5449999999999999"/>
    <n v="72.802000000000007"/>
    <n v="178"/>
  </r>
  <r>
    <x v="42"/>
    <n v="4"/>
    <s v="Unlock"/>
    <x v="2"/>
    <n v="2.37"/>
    <n v="-2.2400000000000002"/>
    <n v="15.37"/>
    <n v="6.9"/>
    <m/>
    <m/>
    <n v="2.23"/>
    <s v="Very High"/>
    <s v="Above Avg."/>
    <x v="1"/>
    <n v="6.1479999999999997"/>
    <n v="3.45"/>
    <n v="1.115"/>
    <n v="26.459"/>
    <n v="564"/>
  </r>
  <r>
    <x v="43"/>
    <n v="4"/>
    <s v="Unlock"/>
    <x v="2"/>
    <n v="-1.39"/>
    <n v="-6.27"/>
    <n v="16"/>
    <n v="5.83"/>
    <n v="15.39"/>
    <n v="11.21"/>
    <n v="1.71"/>
    <s v="Very High"/>
    <s v="Above Avg."/>
    <x v="1"/>
    <n v="14.095000000000001"/>
    <n v="8.52"/>
    <n v="8.5500000000000007"/>
    <n v="67.875"/>
    <n v="198"/>
  </r>
  <r>
    <x v="44"/>
    <n v="4"/>
    <s v="Unlock"/>
    <x v="2"/>
    <n v="-2.84"/>
    <n v="-9.8699999999999992"/>
    <n v="13.16"/>
    <n v="3.34"/>
    <n v="13.83"/>
    <n v="8.99"/>
    <n v="1.88"/>
    <s v="Very High"/>
    <s v="Avg."/>
    <x v="1"/>
    <n v="12.179"/>
    <n v="6.165"/>
    <n v="7.8550000000000004"/>
    <n v="56.721999999999994"/>
    <n v="250"/>
  </r>
  <r>
    <x v="45"/>
    <n v="5"/>
    <s v="Unlock"/>
    <x v="2"/>
    <n v="1.23"/>
    <n v="-4.6399999999999997"/>
    <n v="18.760000000000002"/>
    <n v="9.6199999999999992"/>
    <n v="19.54"/>
    <n v="15.3"/>
    <n v="1.27"/>
    <s v="Very High"/>
    <s v="High"/>
    <x v="1"/>
    <n v="17.274000000000001"/>
    <n v="12.46"/>
    <n v="10.404999999999999"/>
    <n v="87.147000000000006"/>
    <n v="93"/>
  </r>
  <r>
    <x v="46"/>
    <n v="5"/>
    <s v="Unlock"/>
    <x v="2"/>
    <n v="0.44"/>
    <n v="-6.25"/>
    <n v="17.86"/>
    <n v="8.8800000000000008"/>
    <n v="20.23"/>
    <n v="15.12"/>
    <n v="1.6"/>
    <s v="Very High"/>
    <s v="High"/>
    <x v="1"/>
    <n v="17.259"/>
    <n v="12"/>
    <n v="10.915000000000001"/>
    <n v="86.692000000000007"/>
    <n v="96"/>
  </r>
  <r>
    <x v="47"/>
    <n v="4"/>
    <s v="Unlock"/>
    <x v="2"/>
    <n v="-1.51"/>
    <n v="-7.69"/>
    <n v="13.6"/>
    <n v="4.2300000000000004"/>
    <n v="15.97"/>
    <n v="10.71"/>
    <n v="1.83"/>
    <s v="Very High"/>
    <s v="Avg."/>
    <x v="1"/>
    <n v="13.425000000000001"/>
    <n v="7.4700000000000006"/>
    <n v="8.9"/>
    <n v="64.115000000000009"/>
    <n v="214"/>
  </r>
  <r>
    <x v="48"/>
    <n v="4"/>
    <s v="Unlock"/>
    <x v="2"/>
    <n v="8.0500000000000007"/>
    <n v="3.56"/>
    <n v="18.27"/>
    <n v="9.9700000000000006"/>
    <n v="15.49"/>
    <n v="13.23"/>
    <n v="2.2999999999999998"/>
    <s v="Very High"/>
    <s v="Above Avg."/>
    <x v="1"/>
    <n v="15.053000000000001"/>
    <n v="11.600000000000001"/>
    <n v="8.8949999999999996"/>
    <n v="77.254000000000005"/>
    <n v="148"/>
  </r>
  <r>
    <x v="49"/>
    <n v="5"/>
    <s v="Unlock"/>
    <x v="2"/>
    <n v="2.85"/>
    <n v="-0.6"/>
    <n v="18.97"/>
    <n v="9.6999999999999993"/>
    <n v="17.79"/>
    <n v="14.33"/>
    <n v="0.98"/>
    <s v="Very High"/>
    <s v="High"/>
    <x v="1"/>
    <n v="16.483000000000001"/>
    <n v="12.015000000000001"/>
    <n v="9.3849999999999998"/>
    <n v="82.864000000000004"/>
    <n v="118"/>
  </r>
  <r>
    <x v="50"/>
    <n v="4"/>
    <s v="Unlock"/>
    <x v="2"/>
    <n v="7.85"/>
    <n v="0.06"/>
    <n v="17.489999999999998"/>
    <n v="9.1"/>
    <m/>
    <m/>
    <n v="1.77"/>
    <s v="Very High"/>
    <s v="Above Avg."/>
    <x v="1"/>
    <n v="6.9959999999999996"/>
    <n v="4.55"/>
    <n v="0.88500000000000001"/>
    <n v="30.973000000000003"/>
    <n v="510"/>
  </r>
  <r>
    <x v="51"/>
    <n v="5"/>
    <s v="Unlock"/>
    <x v="2"/>
    <n v="3.28"/>
    <n v="-3.63"/>
    <n v="19.91"/>
    <n v="10.72"/>
    <n v="17.899999999999999"/>
    <n v="14.94"/>
    <n v="2.37"/>
    <s v="Very High"/>
    <s v="High"/>
    <x v="1"/>
    <n v="16.914000000000001"/>
    <n v="12.83"/>
    <n v="10.135"/>
    <n v="86.537000000000006"/>
    <n v="100"/>
  </r>
  <r>
    <x v="52"/>
    <n v="5"/>
    <s v="Unlock"/>
    <x v="2"/>
    <n v="16.829999999999998"/>
    <n v="10.82"/>
    <n v="24.99"/>
    <n v="16.190000000000001"/>
    <n v="22.43"/>
    <n v="19.21"/>
    <n v="2.09"/>
    <s v="Very High"/>
    <s v="High"/>
    <x v="1"/>
    <n v="21.210999999999999"/>
    <n v="17.700000000000003"/>
    <n v="12.26"/>
    <n v="111.29300000000001"/>
    <n v="27"/>
  </r>
  <r>
    <x v="53"/>
    <n v="4"/>
    <s v="Unlock"/>
    <x v="2"/>
    <n v="1.78"/>
    <n v="-6.19"/>
    <n v="18.68"/>
    <n v="7.97"/>
    <m/>
    <m/>
    <n v="1.86"/>
    <s v="Very High"/>
    <s v="High"/>
    <x v="1"/>
    <n v="7.4720000000000004"/>
    <n v="3.9849999999999999"/>
    <n v="0.93"/>
    <n v="31.315999999999999"/>
    <n v="508"/>
  </r>
  <r>
    <x v="54"/>
    <n v="4"/>
    <s v="Unlock"/>
    <x v="2"/>
    <n v="-2.85"/>
    <n v="-7.26"/>
    <n v="21.28"/>
    <n v="8.11"/>
    <n v="15.82"/>
    <n v="12.98"/>
    <n v="1.89"/>
    <s v="Very High"/>
    <s v="Above Avg."/>
    <x v="1"/>
    <n v="16.422000000000001"/>
    <n v="10.545"/>
    <n v="8.8550000000000004"/>
    <n v="79.211000000000013"/>
    <n v="136"/>
  </r>
  <r>
    <x v="55"/>
    <n v="4"/>
    <s v="Unlock"/>
    <x v="2"/>
    <n v="9.9700000000000006"/>
    <n v="4.3899999999999997"/>
    <n v="19.84"/>
    <n v="10.02"/>
    <m/>
    <m/>
    <n v="2.52"/>
    <s v="Very High"/>
    <s v="High"/>
    <x v="1"/>
    <n v="7.9359999999999999"/>
    <n v="5.01"/>
    <n v="1.26"/>
    <n v="35.088000000000001"/>
    <n v="391"/>
  </r>
  <r>
    <x v="56"/>
    <n v="4"/>
    <s v="Unlock"/>
    <x v="2"/>
    <n v="-1.05"/>
    <n v="-4.0199999999999996"/>
    <n v="18.45"/>
    <n v="5.13"/>
    <n v="17.329999999999998"/>
    <n v="12.93"/>
    <n v="2.58"/>
    <s v="Very High"/>
    <s v="Above Avg."/>
    <x v="1"/>
    <n v="16.044999999999998"/>
    <n v="9.0299999999999994"/>
    <n v="9.9549999999999983"/>
    <n v="76.149999999999991"/>
    <n v="152"/>
  </r>
  <r>
    <x v="57"/>
    <n v="4"/>
    <s v="Unlock"/>
    <x v="2"/>
    <n v="10"/>
    <n v="2.92"/>
    <n v="16.21"/>
    <n v="9.9700000000000006"/>
    <n v="14.22"/>
    <n v="11.98"/>
    <n v="2.29"/>
    <s v="Very High"/>
    <s v="Avg."/>
    <x v="1"/>
    <n v="13.594000000000001"/>
    <n v="10.975000000000001"/>
    <n v="8.2550000000000008"/>
    <n v="70.987000000000009"/>
    <n v="188"/>
  </r>
  <r>
    <x v="58"/>
    <n v="4"/>
    <s v="Unlock"/>
    <x v="2"/>
    <n v="3.23"/>
    <n v="1.2"/>
    <n v="17.739999999999998"/>
    <n v="8.67"/>
    <n v="16.82"/>
    <n v="13.34"/>
    <n v="2.13"/>
    <s v="Very High"/>
    <s v="Above Avg."/>
    <x v="1"/>
    <n v="15.506"/>
    <n v="11.004999999999999"/>
    <n v="9.4749999999999996"/>
    <n v="78.002999999999986"/>
    <n v="144"/>
  </r>
  <r>
    <x v="59"/>
    <n v="4"/>
    <s v="Unlock"/>
    <x v="2"/>
    <n v="2.2400000000000002"/>
    <n v="-1.87"/>
    <n v="16.010000000000002"/>
    <n v="6.27"/>
    <n v="14.3"/>
    <n v="10.93"/>
    <n v="2.09"/>
    <s v="Very High"/>
    <s v="Above Avg."/>
    <x v="1"/>
    <n v="13.554000000000002"/>
    <n v="8.6"/>
    <n v="8.1950000000000003"/>
    <n v="66.057000000000016"/>
    <n v="204"/>
  </r>
  <r>
    <x v="60"/>
    <n v="5"/>
    <s v="Unlock"/>
    <x v="2"/>
    <n v="3.77"/>
    <n v="-1.46"/>
    <n v="16.829999999999998"/>
    <n v="9.27"/>
    <n v="15.85"/>
    <n v="13.27"/>
    <n v="1.36"/>
    <s v="Very High"/>
    <s v="Above Avg."/>
    <x v="1"/>
    <n v="14.657"/>
    <n v="11.27"/>
    <n v="8.6050000000000004"/>
    <n v="75.116"/>
    <n v="158"/>
  </r>
  <r>
    <x v="61"/>
    <n v="4"/>
    <s v="Unlock"/>
    <x v="2"/>
    <n v="15.83"/>
    <n v="15.25"/>
    <n v="18.72"/>
    <n v="14.78"/>
    <n v="15.04"/>
    <n v="14.29"/>
    <n v="1.51"/>
    <s v="Very High"/>
    <s v="Above Avg."/>
    <x v="1"/>
    <n v="15.007999999999999"/>
    <n v="14.535"/>
    <n v="8.2750000000000004"/>
    <n v="82.369"/>
    <n v="122"/>
  </r>
  <r>
    <x v="62"/>
    <n v="4"/>
    <s v="Unlock"/>
    <x v="2"/>
    <n v="7.5"/>
    <n v="2.77"/>
    <n v="16.7"/>
    <n v="8.59"/>
    <m/>
    <m/>
    <n v="2.42"/>
    <s v="Very High"/>
    <s v="Above Avg."/>
    <x v="1"/>
    <n v="6.68"/>
    <n v="4.2949999999999999"/>
    <n v="1.21"/>
    <n v="29.84"/>
    <n v="542"/>
  </r>
  <r>
    <x v="63"/>
    <n v="4"/>
    <s v="Unlock"/>
    <x v="2"/>
    <n v="3.73"/>
    <n v="-1.94"/>
    <n v="17.63"/>
    <n v="8.34"/>
    <m/>
    <m/>
    <n v="1.92"/>
    <s v="Very High"/>
    <s v="Above Avg."/>
    <x v="1"/>
    <n v="7.0519999999999996"/>
    <n v="4.17"/>
    <n v="0.96"/>
    <n v="30.456"/>
    <n v="516"/>
  </r>
  <r>
    <x v="64"/>
    <n v="5"/>
    <s v="Unlock"/>
    <x v="3"/>
    <n v="7.22"/>
    <n v="1.24"/>
    <n v="21.3"/>
    <n v="10.81"/>
    <m/>
    <m/>
    <n v="2.29"/>
    <s v="Very High"/>
    <s v="High"/>
    <x v="1"/>
    <n v="8.5200000000000014"/>
    <n v="5.4050000000000002"/>
    <n v="1.145"/>
    <n v="37.515000000000008"/>
    <n v="335"/>
  </r>
  <r>
    <x v="65"/>
    <n v="4"/>
    <s v="Unlock"/>
    <x v="3"/>
    <n v="13.77"/>
    <n v="10.51"/>
    <n v="21.12"/>
    <n v="12.49"/>
    <m/>
    <m/>
    <n v="2.2400000000000002"/>
    <s v="Very High"/>
    <s v="Above Avg."/>
    <x v="1"/>
    <n v="8.4480000000000004"/>
    <n v="6.2450000000000001"/>
    <n v="1.1200000000000001"/>
    <n v="38.954000000000001"/>
    <n v="333"/>
  </r>
  <r>
    <x v="66"/>
    <n v="4"/>
    <s v="Unlock"/>
    <x v="3"/>
    <n v="9.74"/>
    <n v="5.17"/>
    <n v="22.24"/>
    <n v="11.16"/>
    <m/>
    <m/>
    <n v="2.2200000000000002"/>
    <s v="Very High"/>
    <s v="High"/>
    <x v="1"/>
    <n v="8.895999999999999"/>
    <n v="5.58"/>
    <n v="1.1100000000000001"/>
    <n v="38.957999999999998"/>
    <n v="331"/>
  </r>
  <r>
    <x v="67"/>
    <n v="4"/>
    <s v="Unlock"/>
    <x v="3"/>
    <n v="7.74"/>
    <n v="7.85"/>
    <n v="20.309999999999999"/>
    <n v="11.44"/>
    <n v="17.829999999999998"/>
    <n v="15.16"/>
    <n v="2.02"/>
    <s v="Very High"/>
    <s v="Avg."/>
    <x v="1"/>
    <n v="17.039000000000001"/>
    <n v="13.3"/>
    <n v="9.9249999999999989"/>
    <n v="87.64200000000001"/>
    <n v="89"/>
  </r>
  <r>
    <x v="68"/>
    <n v="5"/>
    <s v="Unlock"/>
    <x v="3"/>
    <n v="11.15"/>
    <n v="6.06"/>
    <n v="22.8"/>
    <n v="11.97"/>
    <m/>
    <m/>
    <n v="1.64"/>
    <s v="Very High"/>
    <s v="High"/>
    <x v="1"/>
    <n v="9.120000000000001"/>
    <n v="5.9850000000000003"/>
    <n v="0.82"/>
    <n v="40.150000000000006"/>
    <n v="325"/>
  </r>
  <r>
    <x v="69"/>
    <n v="4"/>
    <s v="Unlock"/>
    <x v="3"/>
    <n v="10.06"/>
    <n v="6.32"/>
    <n v="20.36"/>
    <n v="10.59"/>
    <n v="17.84"/>
    <n v="14.39"/>
    <n v="2.91"/>
    <s v="Very High"/>
    <s v="Above Avg."/>
    <x v="1"/>
    <n v="17.064"/>
    <n v="12.49"/>
    <n v="10.375"/>
    <n v="86.546999999999997"/>
    <n v="98"/>
  </r>
  <r>
    <x v="70"/>
    <n v="5"/>
    <s v="Unlock"/>
    <x v="3"/>
    <n v="7.19"/>
    <n v="1.59"/>
    <n v="20.32"/>
    <n v="9.75"/>
    <n v="21.31"/>
    <n v="16.27"/>
    <n v="1.47"/>
    <s v="Very High"/>
    <s v="Above Avg."/>
    <x v="1"/>
    <n v="18.783000000000001"/>
    <n v="13.01"/>
    <n v="11.389999999999999"/>
    <n v="93.759"/>
    <n v="63"/>
  </r>
  <r>
    <x v="71"/>
    <n v="5"/>
    <s v="Unlock"/>
    <x v="4"/>
    <n v="10.73"/>
    <n v="5.67"/>
    <n v="24.72"/>
    <n v="14.67"/>
    <n v="21.02"/>
    <n v="18.48"/>
    <n v="1.8"/>
    <s v="Very High"/>
    <s v="Above Avg."/>
    <x v="1"/>
    <n v="20.398"/>
    <n v="16.574999999999999"/>
    <n v="11.41"/>
    <n v="105.75399999999999"/>
    <n v="39"/>
  </r>
  <r>
    <x v="72"/>
    <n v="5"/>
    <s v="Unlock"/>
    <x v="4"/>
    <n v="10.69"/>
    <n v="2.78"/>
    <n v="23.56"/>
    <n v="12.21"/>
    <n v="21.25"/>
    <n v="18.34"/>
    <n v="1.3"/>
    <s v="Very High"/>
    <s v="Above Avg."/>
    <x v="1"/>
    <n v="20.048999999999999"/>
    <n v="15.275"/>
    <n v="11.275"/>
    <n v="101.97200000000001"/>
    <n v="45"/>
  </r>
  <r>
    <x v="73"/>
    <n v="4"/>
    <s v="Unlock"/>
    <x v="4"/>
    <n v="24.33"/>
    <n v="19.63"/>
    <n v="26.21"/>
    <n v="18.78"/>
    <n v="20.73"/>
    <n v="19.600000000000001"/>
    <n v="1.84"/>
    <s v="Very High"/>
    <s v="Above Avg."/>
    <x v="1"/>
    <n v="20.849000000000004"/>
    <n v="19.190000000000001"/>
    <n v="11.285"/>
    <n v="112.21200000000002"/>
    <n v="25"/>
  </r>
  <r>
    <x v="74"/>
    <n v="4"/>
    <s v="Unlock"/>
    <x v="4"/>
    <n v="13.6"/>
    <n v="4.16"/>
    <n v="25.59"/>
    <n v="16.05"/>
    <n v="21.01"/>
    <n v="19.18"/>
    <n v="2.17"/>
    <s v="Very High"/>
    <s v="High"/>
    <x v="1"/>
    <n v="20.741"/>
    <n v="17.615000000000002"/>
    <n v="11.59"/>
    <n v="109.04300000000001"/>
    <n v="33"/>
  </r>
  <r>
    <x v="75"/>
    <n v="4"/>
    <s v="Unlock"/>
    <x v="4"/>
    <n v="11.39"/>
    <n v="6.83"/>
    <n v="23.61"/>
    <n v="12.25"/>
    <n v="16.78"/>
    <n v="16.260000000000002"/>
    <n v="1.84"/>
    <s v="Very High"/>
    <s v="Above Avg."/>
    <x v="1"/>
    <n v="17.834000000000003"/>
    <n v="14.255000000000001"/>
    <n v="9.31"/>
    <n v="91.322000000000017"/>
    <n v="75"/>
  </r>
  <r>
    <x v="76"/>
    <n v="4"/>
    <s v="Unlock"/>
    <x v="4"/>
    <n v="7.09"/>
    <n v="3.68"/>
    <n v="23.26"/>
    <n v="10.26"/>
    <m/>
    <m/>
    <n v="2.31"/>
    <s v="Very High"/>
    <s v="Above Avg."/>
    <x v="1"/>
    <n v="9.3040000000000003"/>
    <n v="5.13"/>
    <n v="1.155"/>
    <n v="39.326999999999998"/>
    <n v="329"/>
  </r>
  <r>
    <x v="77"/>
    <n v="4"/>
    <s v="Unlock"/>
    <x v="4"/>
    <n v="13.91"/>
    <n v="6.69"/>
    <n v="21.47"/>
    <n v="13.11"/>
    <n v="18.88"/>
    <n v="16.37"/>
    <n v="1.45"/>
    <s v="Very High"/>
    <s v="Avg."/>
    <x v="1"/>
    <n v="18.027999999999999"/>
    <n v="14.74"/>
    <n v="10.164999999999999"/>
    <n v="93.728999999999985"/>
    <n v="65"/>
  </r>
  <r>
    <x v="78"/>
    <n v="4"/>
    <s v="Unlock"/>
    <x v="4"/>
    <n v="12.03"/>
    <n v="11.03"/>
    <n v="24.21"/>
    <n v="13.27"/>
    <n v="20.100000000000001"/>
    <n v="17.7"/>
    <n v="2.27"/>
    <s v="Very High"/>
    <s v="Above Avg."/>
    <x v="1"/>
    <n v="19.734000000000002"/>
    <n v="15.484999999999999"/>
    <n v="11.185"/>
    <n v="101.357"/>
    <n v="47"/>
  </r>
  <r>
    <x v="79"/>
    <n v="4"/>
    <s v="Unlock"/>
    <x v="4"/>
    <n v="-3.85"/>
    <n v="-12.01"/>
    <n v="20.88"/>
    <n v="6.03"/>
    <n v="22.82"/>
    <n v="15.79"/>
    <n v="1.61"/>
    <s v="Very High"/>
    <s v="High"/>
    <x v="1"/>
    <n v="19.762"/>
    <n v="10.91"/>
    <n v="12.215"/>
    <n v="93.320999999999998"/>
    <n v="69"/>
  </r>
  <r>
    <x v="80"/>
    <n v="5"/>
    <s v="Unlock"/>
    <x v="4"/>
    <n v="12.26"/>
    <n v="8.8800000000000008"/>
    <n v="25.44"/>
    <n v="14.46"/>
    <n v="22.24"/>
    <n v="19.04"/>
    <n v="1.92"/>
    <s v="Very High"/>
    <s v="High"/>
    <x v="1"/>
    <n v="21.295999999999999"/>
    <n v="16.75"/>
    <n v="12.079999999999998"/>
    <n v="109.468"/>
    <n v="31"/>
  </r>
  <r>
    <x v="81"/>
    <n v="4"/>
    <s v="Unlock"/>
    <x v="4"/>
    <n v="11.3"/>
    <n v="5.56"/>
    <n v="24.15"/>
    <n v="13.44"/>
    <n v="19.86"/>
    <n v="17.61"/>
    <n v="2.25"/>
    <s v="Very High"/>
    <s v="Above Avg."/>
    <x v="1"/>
    <n v="19.59"/>
    <n v="15.524999999999999"/>
    <n v="11.055"/>
    <n v="100.875"/>
    <n v="49"/>
  </r>
  <r>
    <x v="82"/>
    <n v="5"/>
    <s v="Unlock"/>
    <x v="4"/>
    <n v="15.16"/>
    <n v="8.4499999999999993"/>
    <n v="25.61"/>
    <n v="15.18"/>
    <m/>
    <m/>
    <n v="2.02"/>
    <s v="Very High"/>
    <s v="Above Avg."/>
    <x v="1"/>
    <n v="10.244"/>
    <n v="7.59"/>
    <n v="1.01"/>
    <n v="46.921999999999997"/>
    <n v="289"/>
  </r>
  <r>
    <x v="83"/>
    <n v="4"/>
    <s v="Unlock"/>
    <x v="5"/>
    <n v="10.08"/>
    <n v="7.41"/>
    <n v="24.27"/>
    <n v="10.89"/>
    <m/>
    <m/>
    <n v="1.05"/>
    <s v="Very High"/>
    <s v="Above Avg."/>
    <x v="1"/>
    <n v="9.7080000000000002"/>
    <n v="5.4450000000000003"/>
    <n v="0.52500000000000002"/>
    <n v="40.539000000000001"/>
    <n v="321"/>
  </r>
  <r>
    <x v="84"/>
    <n v="4"/>
    <s v="Unlock"/>
    <x v="5"/>
    <n v="8.4499999999999993"/>
    <n v="4.16"/>
    <n v="17.829999999999998"/>
    <n v="8.85"/>
    <n v="18.11"/>
    <n v="13.47"/>
    <n v="1.74"/>
    <s v="Very High"/>
    <s v="Below Avg."/>
    <x v="1"/>
    <n v="16.186999999999998"/>
    <n v="11.16"/>
    <n v="9.9249999999999989"/>
    <n v="80.805999999999997"/>
    <n v="128"/>
  </r>
  <r>
    <x v="85"/>
    <n v="5"/>
    <s v="Unlock"/>
    <x v="5"/>
    <n v="13.73"/>
    <n v="8.68"/>
    <n v="30.4"/>
    <n v="16.61"/>
    <n v="22.81"/>
    <n v="20.73"/>
    <n v="1.98"/>
    <s v="Very High"/>
    <s v="High"/>
    <x v="1"/>
    <n v="23.564999999999998"/>
    <n v="18.670000000000002"/>
    <n v="12.395"/>
    <n v="120.42999999999999"/>
    <n v="13"/>
  </r>
  <r>
    <x v="86"/>
    <n v="4"/>
    <s v="Unlock"/>
    <x v="5"/>
    <n v="9.75"/>
    <n v="4.1500000000000004"/>
    <n v="19.04"/>
    <n v="8.69"/>
    <n v="19.37"/>
    <n v="14.24"/>
    <n v="2.13"/>
    <s v="Very High"/>
    <s v="Avg."/>
    <x v="1"/>
    <n v="17.301000000000002"/>
    <n v="11.465"/>
    <n v="10.75"/>
    <n v="85.582999999999998"/>
    <n v="108"/>
  </r>
  <r>
    <x v="87"/>
    <n v="4"/>
    <s v="Unlock"/>
    <x v="5"/>
    <n v="7.06"/>
    <n v="-5.28"/>
    <n v="16.39"/>
    <n v="4.8600000000000003"/>
    <n v="19.079999999999998"/>
    <n v="12.77"/>
    <n v="1.62"/>
    <s v="Very High"/>
    <s v="Above Avg."/>
    <x v="1"/>
    <n v="16.096"/>
    <n v="8.8149999999999995"/>
    <n v="10.35"/>
    <n v="76.267999999999986"/>
    <n v="150"/>
  </r>
  <r>
    <x v="88"/>
    <n v="5"/>
    <s v="Unlock"/>
    <x v="5"/>
    <n v="11.15"/>
    <n v="5.39"/>
    <n v="24.12"/>
    <n v="12.68"/>
    <n v="21.78"/>
    <n v="17.54"/>
    <n v="1.93"/>
    <s v="Very High"/>
    <s v="High"/>
    <x v="1"/>
    <n v="20.538000000000004"/>
    <n v="15.11"/>
    <n v="11.855"/>
    <n v="103.68900000000001"/>
    <n v="41"/>
  </r>
  <r>
    <x v="89"/>
    <n v="4"/>
    <s v="Unlock"/>
    <x v="5"/>
    <n v="12.21"/>
    <n v="10.35"/>
    <n v="25.17"/>
    <n v="13.49"/>
    <n v="17.59"/>
    <n v="17.59"/>
    <n v="1.95"/>
    <s v="Very High"/>
    <s v="Above Avg."/>
    <x v="1"/>
    <n v="18.863"/>
    <n v="15.54"/>
    <n v="9.77"/>
    <n v="97.438999999999993"/>
    <n v="55"/>
  </r>
  <r>
    <x v="90"/>
    <n v="4"/>
    <s v="Unlock"/>
    <x v="5"/>
    <n v="9.85"/>
    <n v="7.03"/>
    <n v="24.28"/>
    <n v="10.96"/>
    <m/>
    <m/>
    <n v="1.52"/>
    <s v="Very High"/>
    <s v="Above Avg."/>
    <x v="1"/>
    <n v="9.7120000000000015"/>
    <n v="5.48"/>
    <n v="0.76"/>
    <n v="40.856000000000002"/>
    <n v="315"/>
  </r>
  <r>
    <x v="91"/>
    <n v="4"/>
    <s v="Unlock"/>
    <x v="5"/>
    <n v="13.69"/>
    <n v="10.210000000000001"/>
    <n v="24.06"/>
    <n v="11.35"/>
    <m/>
    <m/>
    <n v="2.96"/>
    <s v="Very High"/>
    <s v="Above Avg."/>
    <x v="1"/>
    <n v="9.6240000000000006"/>
    <n v="5.6749999999999998"/>
    <n v="1.48"/>
    <n v="41.701999999999998"/>
    <n v="309"/>
  </r>
  <r>
    <x v="92"/>
    <n v="4"/>
    <s v="Unlock"/>
    <x v="5"/>
    <n v="10.36"/>
    <n v="7.52"/>
    <n v="21.1"/>
    <n v="9.5500000000000007"/>
    <n v="22.34"/>
    <n v="16.63"/>
    <n v="1.5"/>
    <s v="Very High"/>
    <s v="Above Avg."/>
    <x v="1"/>
    <n v="19.61"/>
    <n v="13.09"/>
    <n v="11.92"/>
    <n v="96.929999999999993"/>
    <n v="57"/>
  </r>
  <r>
    <x v="93"/>
    <n v="4"/>
    <s v="Unlock"/>
    <x v="5"/>
    <n v="8.43"/>
    <n v="7.23"/>
    <n v="20.13"/>
    <n v="8.4600000000000009"/>
    <n v="21.82"/>
    <n v="15.83"/>
    <n v="2.02"/>
    <s v="Very High"/>
    <s v="High"/>
    <x v="1"/>
    <n v="18.962"/>
    <n v="12.145"/>
    <n v="11.92"/>
    <n v="93.095999999999989"/>
    <n v="73"/>
  </r>
  <r>
    <x v="94"/>
    <n v="4"/>
    <s v="Unlock"/>
    <x v="5"/>
    <n v="15.74"/>
    <n v="12.23"/>
    <n v="20.48"/>
    <n v="11.42"/>
    <n v="19.420000000000002"/>
    <n v="15.46"/>
    <n v="1.91"/>
    <s v="Very High"/>
    <s v="Avg."/>
    <x v="1"/>
    <n v="17.902000000000001"/>
    <n v="13.440000000000001"/>
    <n v="10.665000000000001"/>
    <n v="91.251000000000019"/>
    <n v="77"/>
  </r>
  <r>
    <x v="95"/>
    <n v="4"/>
    <s v="Unlock"/>
    <x v="6"/>
    <n v="7.95"/>
    <n v="2.57"/>
    <n v="20.8"/>
    <n v="10.98"/>
    <m/>
    <m/>
    <n v="2.5499999999999998"/>
    <s v="Very High"/>
    <s v="Above Avg."/>
    <x v="1"/>
    <n v="8.32"/>
    <n v="5.49"/>
    <n v="1.2749999999999999"/>
    <n v="37.214999999999996"/>
    <n v="339"/>
  </r>
  <r>
    <x v="96"/>
    <n v="4"/>
    <s v="Unlock"/>
    <x v="6"/>
    <n v="1.38"/>
    <n v="-2.0099999999999998"/>
    <n v="15.19"/>
    <n v="5.58"/>
    <n v="16.440000000000001"/>
    <n v="11.3"/>
    <n v="2.1"/>
    <s v="Very High"/>
    <s v="Avg."/>
    <x v="1"/>
    <n v="14.296000000000001"/>
    <n v="8.4400000000000013"/>
    <n v="9.2700000000000014"/>
    <n v="69.038000000000011"/>
    <n v="194"/>
  </r>
  <r>
    <x v="97"/>
    <n v="5"/>
    <s v="Unlock"/>
    <x v="6"/>
    <n v="15.03"/>
    <n v="10.36"/>
    <n v="19.21"/>
    <n v="13.9"/>
    <n v="15.01"/>
    <n v="15.12"/>
    <n v="1.94"/>
    <s v="Very High"/>
    <s v="Avg."/>
    <x v="1"/>
    <n v="15.189"/>
    <n v="14.51"/>
    <n v="8.4749999999999996"/>
    <n v="83.061999999999998"/>
    <n v="116"/>
  </r>
  <r>
    <x v="98"/>
    <n v="4"/>
    <s v="Unlock"/>
    <x v="6"/>
    <n v="10.09"/>
    <n v="4.37"/>
    <n v="21.67"/>
    <n v="11.81"/>
    <n v="19.47"/>
    <n v="16.66"/>
    <n v="1.71"/>
    <s v="Very High"/>
    <s v="High"/>
    <x v="1"/>
    <n v="18.402999999999999"/>
    <n v="14.234999999999999"/>
    <n v="10.59"/>
    <n v="94.269000000000005"/>
    <n v="59"/>
  </r>
  <r>
    <x v="99"/>
    <n v="5"/>
    <s v="Unlock"/>
    <x v="6"/>
    <n v="2.1"/>
    <n v="-4.21"/>
    <n v="17.739999999999998"/>
    <n v="8.6999999999999993"/>
    <n v="18.510000000000002"/>
    <n v="14.3"/>
    <n v="2.99"/>
    <s v="Very High"/>
    <s v="Above Avg."/>
    <x v="1"/>
    <n v="16.350999999999999"/>
    <n v="11.5"/>
    <n v="10.75"/>
    <n v="82.802999999999997"/>
    <n v="120"/>
  </r>
  <r>
    <x v="100"/>
    <n v="4"/>
    <s v="Unlock"/>
    <x v="6"/>
    <n v="5.61"/>
    <n v="-1.69"/>
    <n v="18.43"/>
    <n v="8.5399999999999991"/>
    <n v="16.43"/>
    <n v="13.63"/>
    <n v="2.6"/>
    <s v="Very High"/>
    <s v="Avg."/>
    <x v="1"/>
    <n v="15.587"/>
    <n v="11.085000000000001"/>
    <n v="9.5150000000000006"/>
    <n v="78.445999999999998"/>
    <n v="138"/>
  </r>
  <r>
    <x v="101"/>
    <n v="5"/>
    <s v="Unlock"/>
    <x v="6"/>
    <n v="18.63"/>
    <n v="14.41"/>
    <n v="30.67"/>
    <n v="18.850000000000001"/>
    <m/>
    <m/>
    <n v="1.3"/>
    <s v="Very High"/>
    <s v="High"/>
    <x v="1"/>
    <n v="12.268000000000001"/>
    <n v="9.4250000000000007"/>
    <n v="0.65"/>
    <n v="56.304000000000002"/>
    <n v="254"/>
  </r>
  <r>
    <x v="102"/>
    <n v="4"/>
    <s v="Unlock"/>
    <x v="6"/>
    <n v="3.74"/>
    <n v="-0.32"/>
    <n v="20.81"/>
    <n v="9.3000000000000007"/>
    <n v="18.079999999999998"/>
    <n v="14.56"/>
    <n v="2.3199999999999998"/>
    <s v="Very High"/>
    <s v="High"/>
    <x v="1"/>
    <n v="17.363999999999997"/>
    <n v="11.93"/>
    <n v="10.199999999999999"/>
    <n v="86.152000000000001"/>
    <n v="104"/>
  </r>
  <r>
    <x v="103"/>
    <n v="5"/>
    <s v="Unlock"/>
    <x v="6"/>
    <n v="0.88"/>
    <n v="-4.16"/>
    <n v="16.399999999999999"/>
    <n v="6.07"/>
    <n v="19.22"/>
    <n v="13.41"/>
    <n v="1.48"/>
    <s v="Very High"/>
    <s v="Above Avg."/>
    <x v="1"/>
    <n v="16.169999999999998"/>
    <n v="9.74"/>
    <n v="10.35"/>
    <n v="78.339999999999989"/>
    <n v="140"/>
  </r>
  <r>
    <x v="104"/>
    <n v="4"/>
    <s v="Unlock"/>
    <x v="7"/>
    <n v="3.14"/>
    <n v="-0.96"/>
    <n v="13.9"/>
    <n v="5.6"/>
    <n v="14.19"/>
    <n v="10.15"/>
    <n v="2.12"/>
    <s v="Very High"/>
    <s v="Avg."/>
    <x v="1"/>
    <n v="12.655000000000001"/>
    <n v="7.875"/>
    <n v="8.1549999999999994"/>
    <n v="61.870000000000005"/>
    <n v="228"/>
  </r>
  <r>
    <x v="105"/>
    <n v="4"/>
    <s v="Unlock"/>
    <x v="7"/>
    <n v="6.36"/>
    <n v="2.29"/>
    <n v="18.010000000000002"/>
    <n v="9.65"/>
    <n v="14.12"/>
    <n v="12.4"/>
    <n v="2.31"/>
    <s v="Very High"/>
    <s v="Above Avg."/>
    <x v="1"/>
    <n v="14.263999999999999"/>
    <n v="11.025"/>
    <n v="8.2149999999999999"/>
    <n v="73.057000000000002"/>
    <n v="176"/>
  </r>
  <r>
    <x v="106"/>
    <n v="4"/>
    <s v="Unlock"/>
    <x v="7"/>
    <n v="0.61"/>
    <n v="-4.0999999999999996"/>
    <n v="17.86"/>
    <n v="8.02"/>
    <n v="15.3"/>
    <n v="12.36"/>
    <n v="1.81"/>
    <s v="Very High"/>
    <s v="Above Avg."/>
    <x v="1"/>
    <n v="14.794"/>
    <n v="10.19"/>
    <n v="8.5549999999999997"/>
    <n v="73.317000000000007"/>
    <n v="174"/>
  </r>
  <r>
    <x v="107"/>
    <n v="4"/>
    <s v="Unlock"/>
    <x v="7"/>
    <n v="-2.77"/>
    <n v="-7.99"/>
    <n v="15.53"/>
    <n v="4.93"/>
    <n v="14.72"/>
    <n v="10.67"/>
    <n v="1.83"/>
    <s v="Very High"/>
    <s v="Avg."/>
    <x v="1"/>
    <n v="13.571999999999999"/>
    <n v="7.8"/>
    <n v="8.2750000000000004"/>
    <n v="64.590999999999994"/>
    <n v="208"/>
  </r>
  <r>
    <x v="108"/>
    <n v="5"/>
    <s v="Unlock"/>
    <x v="7"/>
    <n v="-2.14"/>
    <n v="-8.99"/>
    <n v="17.36"/>
    <n v="7"/>
    <n v="17.97"/>
    <n v="13.3"/>
    <n v="1.69"/>
    <s v="Very High"/>
    <s v="Above Avg."/>
    <x v="1"/>
    <n v="15.928999999999998"/>
    <n v="10.15"/>
    <n v="9.83"/>
    <n v="77.916999999999987"/>
    <n v="146"/>
  </r>
  <r>
    <x v="109"/>
    <n v="4"/>
    <s v="Unlock"/>
    <x v="7"/>
    <n v="6.74"/>
    <n v="0.87"/>
    <n v="18.21"/>
    <n v="9.58"/>
    <n v="14.59"/>
    <n v="13.03"/>
    <n v="2.06"/>
    <s v="Very High"/>
    <s v="Above Avg."/>
    <x v="1"/>
    <n v="14.579000000000001"/>
    <n v="11.305"/>
    <n v="8.3249999999999993"/>
    <n v="74.672000000000011"/>
    <n v="164"/>
  </r>
  <r>
    <x v="110"/>
    <n v="4"/>
    <s v="Unlock"/>
    <x v="7"/>
    <n v="4.49"/>
    <n v="-1.56"/>
    <n v="17.850000000000001"/>
    <n v="7.12"/>
    <n v="15.37"/>
    <n v="12.17"/>
    <n v="2.58"/>
    <s v="Very High"/>
    <s v="Above Avg."/>
    <x v="1"/>
    <n v="14.824999999999999"/>
    <n v="9.6449999999999996"/>
    <n v="8.9749999999999996"/>
    <n v="72.739999999999995"/>
    <n v="180"/>
  </r>
  <r>
    <x v="111"/>
    <n v="5"/>
    <s v="Unlock"/>
    <x v="7"/>
    <n v="15.5"/>
    <n v="13.38"/>
    <n v="24.83"/>
    <n v="15.29"/>
    <n v="19.41"/>
    <n v="18.43"/>
    <n v="1.99"/>
    <s v="Very High"/>
    <s v="High"/>
    <x v="1"/>
    <n v="19.637"/>
    <n v="16.86"/>
    <n v="10.7"/>
    <n v="103.331"/>
    <n v="43"/>
  </r>
  <r>
    <x v="112"/>
    <n v="4"/>
    <s v="Unlock"/>
    <x v="7"/>
    <n v="5.57"/>
    <n v="1.93"/>
    <n v="17.239999999999998"/>
    <n v="8.76"/>
    <n v="15.46"/>
    <n v="12.52"/>
    <n v="1.88"/>
    <s v="Very High"/>
    <s v="Above Avg."/>
    <x v="1"/>
    <n v="14.626000000000001"/>
    <n v="10.64"/>
    <n v="8.67"/>
    <n v="73.828000000000003"/>
    <n v="170"/>
  </r>
  <r>
    <x v="113"/>
    <n v="5"/>
    <s v="Unlock"/>
    <x v="7"/>
    <n v="-3.56"/>
    <n v="-9.66"/>
    <n v="12.72"/>
    <n v="4.3"/>
    <n v="14.65"/>
    <n v="9.91"/>
    <n v="1.79"/>
    <s v="Very High"/>
    <s v="Avg."/>
    <x v="1"/>
    <n v="12.413"/>
    <n v="7.1050000000000004"/>
    <n v="8.2200000000000006"/>
    <n v="59.669000000000004"/>
    <n v="242"/>
  </r>
  <r>
    <x v="114"/>
    <n v="4"/>
    <s v="Unlock"/>
    <x v="7"/>
    <n v="-3.15"/>
    <n v="-8.5399999999999991"/>
    <n v="14.05"/>
    <n v="4.1100000000000003"/>
    <n v="12.16"/>
    <n v="9.3000000000000007"/>
    <n v="2.1"/>
    <s v="Very High"/>
    <s v="Avg."/>
    <x v="1"/>
    <n v="11.700000000000001"/>
    <n v="6.7050000000000001"/>
    <n v="7.13"/>
    <n v="55.640000000000008"/>
    <n v="260"/>
  </r>
  <r>
    <x v="115"/>
    <n v="5"/>
    <s v="Unlock"/>
    <x v="7"/>
    <n v="2.2000000000000002"/>
    <n v="-2.81"/>
    <n v="20.64"/>
    <n v="8.86"/>
    <m/>
    <m/>
    <n v="1.62"/>
    <s v="Very High"/>
    <s v="High"/>
    <x v="1"/>
    <n v="8.2560000000000002"/>
    <n v="4.43"/>
    <n v="0.81"/>
    <n v="34.438000000000002"/>
    <n v="411"/>
  </r>
  <r>
    <x v="116"/>
    <n v="5"/>
    <s v="Unlock"/>
    <x v="7"/>
    <n v="2.7"/>
    <n v="-3.52"/>
    <n v="18.48"/>
    <n v="8.5500000000000007"/>
    <m/>
    <m/>
    <n v="2.66"/>
    <s v="Very High"/>
    <s v="High"/>
    <x v="1"/>
    <n v="7.3920000000000003"/>
    <n v="4.2750000000000004"/>
    <n v="1.33"/>
    <n v="32.056000000000004"/>
    <n v="502"/>
  </r>
  <r>
    <x v="117"/>
    <n v="5"/>
    <s v="Unlock"/>
    <x v="8"/>
    <n v="8.19"/>
    <n v="2.93"/>
    <n v="19.11"/>
    <n v="12.64"/>
    <n v="15.98"/>
    <n v="15.19"/>
    <n v="2.0699999999999998"/>
    <s v="Very High"/>
    <s v="High"/>
    <x v="1"/>
    <n v="15.634"/>
    <n v="13.914999999999999"/>
    <n v="9.0250000000000004"/>
    <n v="83.757000000000005"/>
    <n v="114"/>
  </r>
  <r>
    <x v="118"/>
    <n v="4"/>
    <s v="Unlock"/>
    <x v="8"/>
    <n v="7.33"/>
    <n v="-1.24"/>
    <n v="19.38"/>
    <n v="10.02"/>
    <m/>
    <m/>
    <n v="1.31"/>
    <s v="Very High"/>
    <s v="High"/>
    <x v="1"/>
    <n v="7.7519999999999998"/>
    <n v="5.01"/>
    <n v="0.65500000000000003"/>
    <n v="33.930999999999997"/>
    <n v="434"/>
  </r>
  <r>
    <x v="119"/>
    <n v="4"/>
    <s v="Unlock"/>
    <x v="8"/>
    <n v="2.0499999999999998"/>
    <n v="-2.4700000000000002"/>
    <n v="15.47"/>
    <n v="8.75"/>
    <n v="16.440000000000001"/>
    <n v="12.83"/>
    <n v="1.79"/>
    <s v="Very High"/>
    <s v="Above Avg."/>
    <x v="1"/>
    <n v="14.408000000000001"/>
    <n v="10.79"/>
    <n v="9.1150000000000002"/>
    <n v="73.918999999999997"/>
    <n v="168"/>
  </r>
  <r>
    <x v="120"/>
    <n v="4"/>
    <s v="Unlock"/>
    <x v="8"/>
    <n v="5.93"/>
    <n v="-1.51"/>
    <n v="17.559999999999999"/>
    <n v="11.94"/>
    <n v="14.01"/>
    <n v="13.86"/>
    <n v="2.02"/>
    <s v="Very High"/>
    <s v="Above Avg."/>
    <x v="1"/>
    <n v="14.029"/>
    <n v="12.899999999999999"/>
    <n v="8.0150000000000006"/>
    <n v="75.902000000000001"/>
    <n v="154"/>
  </r>
  <r>
    <x v="121"/>
    <n v="4"/>
    <s v="Unlock"/>
    <x v="8"/>
    <n v="2.25"/>
    <n v="-0.5"/>
    <n v="15.66"/>
    <n v="8.2799999999999994"/>
    <n v="14.74"/>
    <n v="12.85"/>
    <n v="2.08"/>
    <s v="Very High"/>
    <s v="Above Avg."/>
    <x v="1"/>
    <n v="13.634"/>
    <n v="10.565"/>
    <n v="8.41"/>
    <n v="70.441999999999993"/>
    <n v="190"/>
  </r>
  <r>
    <x v="122"/>
    <n v="5"/>
    <s v="Unlock"/>
    <x v="9"/>
    <n v="7.1"/>
    <n v="5.38"/>
    <n v="27.02"/>
    <n v="15.8"/>
    <n v="16.23"/>
    <n v="18.239999999999998"/>
    <n v="2.08"/>
    <s v="Very High"/>
    <s v="High"/>
    <x v="1"/>
    <n v="18.923000000000002"/>
    <n v="17.02"/>
    <n v="9.1550000000000011"/>
    <n v="99.963999999999999"/>
    <n v="51"/>
  </r>
  <r>
    <x v="123"/>
    <n v="4"/>
    <s v="Unlock"/>
    <x v="9"/>
    <n v="4.5599999999999996"/>
    <n v="6.72"/>
    <n v="24.83"/>
    <n v="14.42"/>
    <n v="15.56"/>
    <n v="17.309999999999999"/>
    <n v="1.9"/>
    <s v="Very High"/>
    <s v="Above Avg."/>
    <x v="1"/>
    <n v="17.712"/>
    <n v="15.864999999999998"/>
    <n v="8.73"/>
    <n v="93.595999999999989"/>
    <n v="67"/>
  </r>
  <r>
    <x v="124"/>
    <n v="4"/>
    <s v="Unlock"/>
    <x v="9"/>
    <n v="8.33"/>
    <n v="6.92"/>
    <n v="24.87"/>
    <n v="14.86"/>
    <n v="13.99"/>
    <n v="16.38"/>
    <n v="2.2999999999999998"/>
    <s v="Very High"/>
    <s v="Avg."/>
    <x v="1"/>
    <n v="16.943000000000001"/>
    <n v="15.62"/>
    <n v="8.1449999999999996"/>
    <n v="90.213999999999999"/>
    <n v="81"/>
  </r>
  <r>
    <x v="125"/>
    <n v="4"/>
    <s v="Unlock"/>
    <x v="10"/>
    <n v="-3.31"/>
    <n v="-7.98"/>
    <n v="13.23"/>
    <n v="3.2"/>
    <n v="12.93"/>
    <n v="8.77"/>
    <n v="2.16"/>
    <s v="Very High"/>
    <s v="Avg."/>
    <x v="1"/>
    <n v="11.757000000000001"/>
    <n v="5.9849999999999994"/>
    <n v="7.5449999999999999"/>
    <n v="54.786000000000001"/>
    <n v="269"/>
  </r>
  <r>
    <x v="126"/>
    <n v="5"/>
    <s v="Unlock"/>
    <x v="10"/>
    <n v="-0.17"/>
    <n v="-5.69"/>
    <n v="14"/>
    <n v="4.08"/>
    <n v="14.95"/>
    <n v="10.32"/>
    <n v="2.25"/>
    <s v="Very High"/>
    <s v="Above Avg."/>
    <x v="1"/>
    <n v="13.074999999999999"/>
    <n v="7.2"/>
    <n v="8.6"/>
    <n v="62.224999999999994"/>
    <n v="224"/>
  </r>
  <r>
    <x v="127"/>
    <n v="4"/>
    <s v="Unlock"/>
    <x v="10"/>
    <n v="-0.06"/>
    <n v="-6.54"/>
    <n v="13.8"/>
    <n v="3.92"/>
    <n v="14.55"/>
    <n v="9.9600000000000009"/>
    <n v="1.91"/>
    <s v="Very High"/>
    <s v="Above Avg."/>
    <x v="1"/>
    <n v="12.795000000000002"/>
    <n v="6.94"/>
    <n v="8.23"/>
    <n v="60.495000000000005"/>
    <n v="238"/>
  </r>
  <r>
    <x v="128"/>
    <n v="4"/>
    <s v="Unlock"/>
    <x v="10"/>
    <n v="-4.71"/>
    <n v="-8.57"/>
    <n v="13.47"/>
    <n v="2.91"/>
    <n v="15.63"/>
    <n v="9.64"/>
    <n v="1.98"/>
    <s v="Very High"/>
    <s v="Above Avg."/>
    <x v="1"/>
    <n v="13.203000000000001"/>
    <n v="6.2750000000000004"/>
    <n v="8.8049999999999997"/>
    <n v="60.964000000000006"/>
    <n v="234"/>
  </r>
  <r>
    <x v="129"/>
    <n v="4"/>
    <s v="Unlock"/>
    <x v="10"/>
    <n v="4.07"/>
    <n v="1.1499999999999999"/>
    <n v="17.14"/>
    <n v="7.67"/>
    <n v="15.35"/>
    <n v="12.16"/>
    <n v="2.0099999999999998"/>
    <s v="Very High"/>
    <s v="High"/>
    <x v="1"/>
    <n v="14.531000000000001"/>
    <n v="9.9149999999999991"/>
    <n v="8.68"/>
    <n v="72.103000000000009"/>
    <n v="184"/>
  </r>
  <r>
    <x v="130"/>
    <n v="4"/>
    <s v="Unlock"/>
    <x v="11"/>
    <n v="23.44"/>
    <n v="20.97"/>
    <n v="25.7"/>
    <n v="17.38"/>
    <n v="22.68"/>
    <n v="20.72"/>
    <n v="2.39"/>
    <s v="Very High"/>
    <s v="Avg."/>
    <x v="1"/>
    <n v="21.62"/>
    <n v="19.049999999999997"/>
    <n v="12.535"/>
    <n v="115.49499999999999"/>
    <n v="21"/>
  </r>
  <r>
    <x v="131"/>
    <n v="4"/>
    <s v="Unlock"/>
    <x v="11"/>
    <n v="16.11"/>
    <n v="15.05"/>
    <n v="26.29"/>
    <n v="16.829999999999998"/>
    <n v="24.72"/>
    <n v="21.12"/>
    <n v="2.25"/>
    <s v="Very High"/>
    <s v="Above Avg."/>
    <x v="1"/>
    <n v="22.875999999999998"/>
    <n v="18.975000000000001"/>
    <n v="13.484999999999999"/>
    <n v="120.06299999999999"/>
    <n v="15"/>
  </r>
  <r>
    <x v="132"/>
    <n v="4"/>
    <s v="Unlock"/>
    <x v="11"/>
    <n v="19.45"/>
    <n v="20.76"/>
    <n v="27.15"/>
    <n v="16.399999999999999"/>
    <n v="25.42"/>
    <n v="21.86"/>
    <n v="1.99"/>
    <s v="Very High"/>
    <s v="Above Avg."/>
    <x v="1"/>
    <n v="23.57"/>
    <n v="19.13"/>
    <n v="13.705"/>
    <n v="122.675"/>
    <n v="11"/>
  </r>
  <r>
    <x v="133"/>
    <n v="5"/>
    <s v="Unlock"/>
    <x v="11"/>
    <n v="11.36"/>
    <n v="8.8000000000000007"/>
    <n v="26.12"/>
    <n v="13.92"/>
    <n v="24.3"/>
    <n v="20.43"/>
    <n v="2.04"/>
    <s v="Very High"/>
    <s v="Above Avg."/>
    <x v="1"/>
    <n v="22.597999999999999"/>
    <n v="17.175000000000001"/>
    <n v="13.17"/>
    <n v="115.31400000000001"/>
    <n v="23"/>
  </r>
  <r>
    <x v="134"/>
    <n v="4"/>
    <s v="Unlock"/>
    <x v="11"/>
    <n v="6.44"/>
    <n v="2.1800000000000002"/>
    <n v="24.76"/>
    <n v="10.36"/>
    <n v="24.58"/>
    <n v="19.350000000000001"/>
    <n v="2.5299999999999998"/>
    <s v="Very High"/>
    <s v="Above Avg."/>
    <x v="1"/>
    <n v="22.194000000000003"/>
    <n v="14.855"/>
    <n v="13.555"/>
    <n v="109.84700000000001"/>
    <n v="29"/>
  </r>
  <r>
    <x v="135"/>
    <n v="5"/>
    <s v="Unlock"/>
    <x v="11"/>
    <n v="11.11"/>
    <n v="7.66"/>
    <n v="23.91"/>
    <n v="13.56"/>
    <n v="26.64"/>
    <n v="21.29"/>
    <n v="2.34"/>
    <s v="Very High"/>
    <s v="Above Avg."/>
    <x v="1"/>
    <n v="22.884"/>
    <n v="17.425000000000001"/>
    <n v="14.49"/>
    <n v="117.992"/>
    <n v="19"/>
  </r>
  <r>
    <x v="136"/>
    <n v="4"/>
    <s v="Unlock"/>
    <x v="11"/>
    <n v="18.920000000000002"/>
    <n v="12.81"/>
    <n v="28.67"/>
    <n v="17.010000000000002"/>
    <n v="24.94"/>
    <n v="21.79"/>
    <n v="2.1800000000000002"/>
    <s v="Very High"/>
    <s v="High"/>
    <x v="1"/>
    <n v="23.938000000000002"/>
    <n v="19.399999999999999"/>
    <n v="13.56"/>
    <n v="124.17400000000001"/>
    <n v="9"/>
  </r>
  <r>
    <x v="137"/>
    <n v="4"/>
    <s v="Unlock"/>
    <x v="12"/>
    <n v="2.38"/>
    <n v="2.2599999999999998"/>
    <n v="6.72"/>
    <n v="5.85"/>
    <n v="5.73"/>
    <n v="6.21"/>
    <n v="0.95"/>
    <s v="Moderate"/>
    <s v="High"/>
    <x v="1"/>
    <n v="5.5530000000000008"/>
    <n v="6.0299999999999994"/>
    <n v="3.3400000000000003"/>
    <n v="32.059000000000005"/>
    <n v="500"/>
  </r>
  <r>
    <x v="138"/>
    <n v="4"/>
    <s v="Unlock"/>
    <x v="12"/>
    <n v="1.97"/>
    <n v="1.37"/>
    <n v="6.04"/>
    <n v="5.32"/>
    <n v="4.8099999999999996"/>
    <n v="5.45"/>
    <n v="1.24"/>
    <s v="Moderate"/>
    <s v="Above Avg."/>
    <x v="1"/>
    <n v="4.8209999999999997"/>
    <n v="5.3849999999999998"/>
    <n v="3.0249999999999999"/>
    <n v="28.257999999999996"/>
    <n v="550"/>
  </r>
  <r>
    <x v="139"/>
    <n v="4"/>
    <s v="Unlock"/>
    <x v="12"/>
    <n v="1.99"/>
    <n v="1.92"/>
    <n v="6.21"/>
    <n v="5.53"/>
    <n v="5.22"/>
    <n v="5.84"/>
    <n v="0.61"/>
    <s v="Moderate"/>
    <s v="Above Avg."/>
    <x v="1"/>
    <n v="5.0939999999999994"/>
    <n v="5.6850000000000005"/>
    <n v="2.915"/>
    <n v="29.567"/>
    <n v="544"/>
  </r>
  <r>
    <x v="140"/>
    <n v="4"/>
    <s v="Unlock"/>
    <x v="13"/>
    <n v="3.99"/>
    <n v="3.07"/>
    <n v="6.75"/>
    <n v="6.28"/>
    <n v="5.74"/>
    <n v="6.3"/>
    <n v="0.77"/>
    <s v="Moderate"/>
    <s v="Above Avg."/>
    <x v="1"/>
    <n v="5.57"/>
    <n v="6.29"/>
    <n v="3.2549999999999999"/>
    <n v="32.545000000000002"/>
    <n v="486"/>
  </r>
  <r>
    <x v="141"/>
    <n v="5"/>
    <s v="Unlock"/>
    <x v="14"/>
    <n v="5.31"/>
    <n v="4.5199999999999996"/>
    <n v="7.07"/>
    <n v="6.88"/>
    <n v="6.04"/>
    <n v="6.69"/>
    <n v="0.91"/>
    <s v="Moderate"/>
    <s v="High"/>
    <x v="1"/>
    <n v="5.8480000000000008"/>
    <n v="6.7850000000000001"/>
    <n v="3.4750000000000001"/>
    <n v="34.589000000000006"/>
    <n v="407"/>
  </r>
  <r>
    <x v="142"/>
    <n v="4"/>
    <s v="Unlock"/>
    <x v="14"/>
    <n v="4.97"/>
    <n v="4.45"/>
    <n v="6.93"/>
    <n v="6.68"/>
    <n v="5.75"/>
    <n v="6.47"/>
    <n v="0.82"/>
    <s v="Moderate"/>
    <s v="Above Avg."/>
    <x v="1"/>
    <n v="5.6470000000000002"/>
    <n v="6.5749999999999993"/>
    <n v="3.2850000000000001"/>
    <n v="33.376000000000005"/>
    <n v="474"/>
  </r>
  <r>
    <x v="143"/>
    <n v="5"/>
    <s v="Unlock"/>
    <x v="14"/>
    <n v="4.75"/>
    <n v="4.09"/>
    <n v="6.75"/>
    <n v="6.46"/>
    <m/>
    <m/>
    <n v="0.56000000000000005"/>
    <s v="Low to Moderate"/>
    <s v="High"/>
    <x v="1"/>
    <n v="2.7"/>
    <n v="3.23"/>
    <n v="0.28000000000000003"/>
    <n v="14.840000000000002"/>
    <n v="579"/>
  </r>
  <r>
    <x v="144"/>
    <n v="5"/>
    <s v="Unlock"/>
    <x v="14"/>
    <n v="5.17"/>
    <n v="4.3"/>
    <n v="7.2"/>
    <n v="6.8"/>
    <n v="6.15"/>
    <n v="6.72"/>
    <n v="0.71"/>
    <s v="Moderate"/>
    <s v="Above Avg."/>
    <x v="1"/>
    <n v="5.9550000000000001"/>
    <n v="6.76"/>
    <n v="3.43"/>
    <n v="34.815000000000005"/>
    <n v="401"/>
  </r>
  <r>
    <x v="145"/>
    <n v="4"/>
    <s v="Unlock"/>
    <x v="14"/>
    <n v="4.84"/>
    <n v="3.93"/>
    <n v="6.73"/>
    <n v="6.46"/>
    <n v="5.54"/>
    <n v="6.25"/>
    <n v="0.74"/>
    <s v="Moderate"/>
    <s v="Above Avg."/>
    <x v="1"/>
    <n v="5.4619999999999997"/>
    <n v="6.3550000000000004"/>
    <n v="3.14"/>
    <n v="32.235999999999997"/>
    <n v="496"/>
  </r>
  <r>
    <x v="146"/>
    <n v="5"/>
    <s v="Unlock"/>
    <x v="14"/>
    <n v="5.47"/>
    <n v="4.75"/>
    <n v="7.23"/>
    <n v="6.87"/>
    <n v="6.37"/>
    <n v="6.87"/>
    <n v="1.04"/>
    <s v="Moderate"/>
    <s v="Above Avg."/>
    <x v="1"/>
    <n v="6.077"/>
    <n v="6.87"/>
    <n v="3.7050000000000001"/>
    <n v="35.676000000000002"/>
    <n v="371"/>
  </r>
  <r>
    <x v="147"/>
    <n v="4"/>
    <s v="Unlock"/>
    <x v="14"/>
    <n v="4.9800000000000004"/>
    <n v="4.03"/>
    <n v="7.01"/>
    <n v="6.68"/>
    <n v="5.97"/>
    <n v="6.53"/>
    <n v="0.94"/>
    <s v="Moderate"/>
    <s v="Above Avg."/>
    <x v="1"/>
    <n v="5.7889999999999997"/>
    <n v="6.6050000000000004"/>
    <n v="3.4550000000000001"/>
    <n v="34.031999999999996"/>
    <n v="422"/>
  </r>
  <r>
    <x v="148"/>
    <n v="4"/>
    <s v="Unlock"/>
    <x v="14"/>
    <n v="4.83"/>
    <n v="3.85"/>
    <n v="6.81"/>
    <n v="6.48"/>
    <n v="5.79"/>
    <n v="6.38"/>
    <n v="0.86"/>
    <s v="Moderate"/>
    <s v="Avg."/>
    <x v="1"/>
    <n v="5.6189999999999998"/>
    <n v="6.43"/>
    <n v="3.3250000000000002"/>
    <n v="33.042000000000002"/>
    <n v="480"/>
  </r>
  <r>
    <x v="149"/>
    <n v="4"/>
    <s v="Unlock"/>
    <x v="14"/>
    <n v="4.8"/>
    <n v="4.1900000000000004"/>
    <n v="6.81"/>
    <n v="6.49"/>
    <n v="7.2"/>
    <n v="6.42"/>
    <n v="0.8"/>
    <s v="Low to Moderate"/>
    <s v="Above Avg."/>
    <x v="1"/>
    <n v="6.3239999999999998"/>
    <n v="6.4550000000000001"/>
    <n v="4"/>
    <n v="35.882000000000005"/>
    <n v="355"/>
  </r>
  <r>
    <x v="150"/>
    <n v="5"/>
    <s v="Unlock"/>
    <x v="15"/>
    <n v="6.17"/>
    <n v="5.68"/>
    <n v="7.11"/>
    <n v="6.94"/>
    <n v="6.13"/>
    <n v="6.75"/>
    <n v="0.71"/>
    <s v="Moderate"/>
    <s v="High"/>
    <x v="1"/>
    <n v="5.9090000000000007"/>
    <n v="6.8450000000000006"/>
    <n v="3.42"/>
    <n v="34.837000000000003"/>
    <n v="399"/>
  </r>
  <r>
    <x v="151"/>
    <n v="4"/>
    <s v="Unlock"/>
    <x v="15"/>
    <n v="5.83"/>
    <n v="5.38"/>
    <n v="6.84"/>
    <n v="6.64"/>
    <n v="5.86"/>
    <n v="6.49"/>
    <n v="0.67"/>
    <s v="Low to Moderate"/>
    <s v="Avg."/>
    <x v="1"/>
    <n v="5.6660000000000004"/>
    <n v="6.5649999999999995"/>
    <n v="3.2650000000000001"/>
    <n v="33.393000000000001"/>
    <n v="470"/>
  </r>
  <r>
    <x v="152"/>
    <n v="4"/>
    <s v="Unlock"/>
    <x v="15"/>
    <n v="6.02"/>
    <n v="5.58"/>
    <n v="6.94"/>
    <n v="6.74"/>
    <n v="5.88"/>
    <n v="6.55"/>
    <n v="0.48"/>
    <s v="Low to Moderate"/>
    <s v="Above Avg."/>
    <x v="1"/>
    <n v="5.7160000000000002"/>
    <n v="6.6449999999999996"/>
    <n v="3.1799999999999997"/>
    <n v="33.617999999999995"/>
    <n v="460"/>
  </r>
  <r>
    <x v="153"/>
    <n v="5"/>
    <s v="Unlock"/>
    <x v="15"/>
    <n v="6.42"/>
    <n v="5.9"/>
    <n v="7.47"/>
    <n v="7.18"/>
    <n v="6.48"/>
    <n v="7.05"/>
    <n v="0.57999999999999996"/>
    <s v="Low to Moderate"/>
    <s v="High"/>
    <x v="1"/>
    <n v="6.2279999999999998"/>
    <n v="7.1150000000000002"/>
    <n v="3.5300000000000002"/>
    <n v="36.444000000000003"/>
    <n v="347"/>
  </r>
  <r>
    <x v="154"/>
    <n v="4"/>
    <s v="Unlock"/>
    <x v="15"/>
    <n v="5.95"/>
    <n v="5.48"/>
    <n v="6.94"/>
    <n v="6.73"/>
    <n v="5.88"/>
    <n v="6.54"/>
    <n v="0.74"/>
    <s v="Low to Moderate"/>
    <s v="Above Avg."/>
    <x v="1"/>
    <n v="5.7160000000000002"/>
    <n v="6.6349999999999998"/>
    <n v="3.31"/>
    <n v="33.728000000000002"/>
    <n v="452"/>
  </r>
  <r>
    <x v="155"/>
    <n v="4"/>
    <s v="Unlock"/>
    <x v="15"/>
    <n v="5.89"/>
    <n v="5.48"/>
    <n v="6.88"/>
    <n v="6.69"/>
    <n v="5.91"/>
    <n v="6.52"/>
    <n v="0.6"/>
    <s v="Low to Moderate"/>
    <s v="Above Avg."/>
    <x v="1"/>
    <n v="5.7070000000000007"/>
    <n v="6.6050000000000004"/>
    <n v="3.2549999999999999"/>
    <n v="33.586000000000006"/>
    <n v="462"/>
  </r>
  <r>
    <x v="156"/>
    <n v="4"/>
    <s v="Unlock"/>
    <x v="15"/>
    <n v="6.21"/>
    <n v="5.75"/>
    <n v="7.17"/>
    <n v="6.99"/>
    <n v="7.24"/>
    <n v="7"/>
    <n v="0.42"/>
    <s v="Moderate"/>
    <s v="Above Avg."/>
    <x v="1"/>
    <n v="6.4880000000000004"/>
    <n v="6.9950000000000001"/>
    <n v="3.83"/>
    <n v="37.283999999999999"/>
    <n v="337"/>
  </r>
  <r>
    <x v="157"/>
    <n v="4"/>
    <s v="Unlock"/>
    <x v="16"/>
    <n v="6.45"/>
    <n v="6.11"/>
    <n v="7.29"/>
    <n v="7.1"/>
    <n v="6.32"/>
    <n v="6.92"/>
    <n v="0.57999999999999996"/>
    <s v="Moderate"/>
    <s v="High"/>
    <x v="1"/>
    <n v="6.0760000000000005"/>
    <n v="7.01"/>
    <n v="3.45"/>
    <n v="35.698000000000008"/>
    <n v="365"/>
  </r>
  <r>
    <x v="158"/>
    <n v="4"/>
    <s v="Unlock"/>
    <x v="16"/>
    <n v="6.23"/>
    <n v="6.07"/>
    <n v="6.97"/>
    <n v="6.8"/>
    <n v="5.98"/>
    <n v="6.62"/>
    <n v="0.47"/>
    <s v="Low to Moderate"/>
    <s v="Above Avg."/>
    <x v="1"/>
    <n v="5.7780000000000005"/>
    <n v="6.71"/>
    <n v="3.2250000000000001"/>
    <n v="33.979000000000006"/>
    <n v="430"/>
  </r>
  <r>
    <x v="159"/>
    <n v="5"/>
    <s v="Unlock"/>
    <x v="16"/>
    <n v="6.3"/>
    <n v="6.13"/>
    <n v="7.06"/>
    <n v="6.87"/>
    <n v="6.19"/>
    <n v="6.76"/>
    <n v="0.43"/>
    <s v="Low to Moderate"/>
    <s v="Above Avg."/>
    <x v="1"/>
    <n v="5.9190000000000005"/>
    <n v="6.8149999999999995"/>
    <n v="3.31"/>
    <n v="34.697000000000003"/>
    <n v="405"/>
  </r>
  <r>
    <x v="160"/>
    <n v="4"/>
    <s v="Unlock"/>
    <x v="16"/>
    <n v="6.28"/>
    <n v="6.14"/>
    <n v="6.99"/>
    <n v="6.84"/>
    <n v="6.02"/>
    <n v="6.66"/>
    <n v="0.42"/>
    <s v="Low to Moderate"/>
    <s v="Above Avg."/>
    <x v="1"/>
    <n v="5.806"/>
    <n v="6.75"/>
    <n v="3.2199999999999998"/>
    <n v="34.137999999999998"/>
    <n v="418"/>
  </r>
  <r>
    <x v="161"/>
    <n v="4"/>
    <s v="Unlock"/>
    <x v="16"/>
    <n v="6.33"/>
    <n v="6.04"/>
    <n v="7"/>
    <n v="6.85"/>
    <n v="6.1"/>
    <n v="6.67"/>
    <n v="0.77"/>
    <s v="Moderate"/>
    <s v="Above Avg."/>
    <x v="1"/>
    <n v="5.85"/>
    <n v="6.76"/>
    <n v="3.4349999999999996"/>
    <n v="34.504999999999995"/>
    <n v="409"/>
  </r>
  <r>
    <x v="162"/>
    <n v="4"/>
    <s v="Unlock"/>
    <x v="16"/>
    <n v="6.06"/>
    <n v="5.91"/>
    <n v="6.85"/>
    <n v="6.7"/>
    <n v="5.78"/>
    <n v="6.47"/>
    <n v="0.83"/>
    <s v="Moderate"/>
    <s v="Avg."/>
    <x v="1"/>
    <n v="5.6300000000000008"/>
    <n v="6.585"/>
    <n v="3.3050000000000002"/>
    <n v="33.365000000000002"/>
    <n v="476"/>
  </r>
  <r>
    <x v="163"/>
    <n v="5"/>
    <s v="Unlock"/>
    <x v="16"/>
    <n v="6.36"/>
    <n v="6.13"/>
    <n v="7.16"/>
    <n v="6.97"/>
    <n v="6.17"/>
    <n v="6.79"/>
    <n v="0.51"/>
    <s v="Low to Moderate"/>
    <s v="High"/>
    <x v="1"/>
    <n v="5.9489999999999998"/>
    <n v="6.88"/>
    <n v="3.34"/>
    <n v="34.947000000000003"/>
    <n v="395"/>
  </r>
  <r>
    <x v="164"/>
    <n v="5"/>
    <s v="Unlock"/>
    <x v="16"/>
    <n v="6.19"/>
    <n v="5.97"/>
    <n v="6.96"/>
    <n v="6.78"/>
    <n v="5.98"/>
    <n v="6.61"/>
    <n v="0.56000000000000005"/>
    <s v="Moderate"/>
    <s v="Above Avg."/>
    <x v="1"/>
    <n v="5.7740000000000009"/>
    <n v="6.6950000000000003"/>
    <n v="3.2700000000000005"/>
    <n v="33.982000000000006"/>
    <n v="428"/>
  </r>
  <r>
    <x v="165"/>
    <n v="4"/>
    <s v="Unlock"/>
    <x v="17"/>
    <n v="6.22"/>
    <n v="6.35"/>
    <n v="6.91"/>
    <n v="6.74"/>
    <n v="6.02"/>
    <n v="6.6"/>
    <n v="0.35"/>
    <s v="Moderate"/>
    <s v="Above Avg."/>
    <x v="1"/>
    <n v="5.774"/>
    <n v="6.67"/>
    <n v="3.1849999999999996"/>
    <n v="33.847000000000001"/>
    <n v="442"/>
  </r>
  <r>
    <x v="166"/>
    <n v="4"/>
    <s v="Unlock"/>
    <x v="17"/>
    <n v="6.26"/>
    <n v="6.39"/>
    <n v="6.95"/>
    <n v="6.78"/>
    <n v="6.05"/>
    <n v="6.64"/>
    <n v="0.21"/>
    <s v="Moderate"/>
    <s v="Above Avg."/>
    <x v="1"/>
    <n v="5.8049999999999997"/>
    <n v="6.71"/>
    <n v="3.13"/>
    <n v="33.965000000000003"/>
    <n v="432"/>
  </r>
  <r>
    <x v="167"/>
    <n v="5"/>
    <s v="Unlock"/>
    <x v="17"/>
    <n v="6.26"/>
    <n v="6.36"/>
    <n v="6.98"/>
    <n v="6.79"/>
    <n v="6.06"/>
    <n v="6.65"/>
    <n v="0.14000000000000001"/>
    <s v="Low to Moderate"/>
    <s v="High"/>
    <x v="1"/>
    <n v="5.8220000000000001"/>
    <n v="6.7200000000000006"/>
    <n v="3.0999999999999996"/>
    <n v="34.006"/>
    <n v="424"/>
  </r>
  <r>
    <x v="168"/>
    <n v="4"/>
    <s v="Unlock"/>
    <x v="17"/>
    <n v="6.24"/>
    <n v="6.37"/>
    <n v="6.92"/>
    <n v="6.76"/>
    <n v="6"/>
    <n v="6.6"/>
    <n v="0.21"/>
    <s v="Low to Moderate"/>
    <s v="Above Avg."/>
    <x v="1"/>
    <n v="5.7680000000000007"/>
    <n v="6.68"/>
    <n v="3.105"/>
    <n v="33.768999999999998"/>
    <n v="450"/>
  </r>
  <r>
    <x v="169"/>
    <n v="5"/>
    <s v="Unlock"/>
    <x v="17"/>
    <n v="6.26"/>
    <n v="6.37"/>
    <n v="6.89"/>
    <n v="6.75"/>
    <n v="5.94"/>
    <n v="6.56"/>
    <n v="0.19"/>
    <s v="Low to Moderate"/>
    <s v="High"/>
    <x v="1"/>
    <n v="5.7260000000000009"/>
    <n v="6.6549999999999994"/>
    <n v="3.0650000000000004"/>
    <n v="33.553000000000004"/>
    <n v="466"/>
  </r>
  <r>
    <x v="170"/>
    <n v="4"/>
    <s v="Unlock"/>
    <x v="17"/>
    <n v="6.24"/>
    <n v="6.32"/>
    <n v="6.94"/>
    <n v="6.77"/>
    <n v="6.02"/>
    <n v="6.62"/>
    <n v="0.2"/>
    <s v="Low to Moderate"/>
    <s v="High"/>
    <x v="1"/>
    <n v="5.7859999999999996"/>
    <n v="6.6950000000000003"/>
    <n v="3.11"/>
    <n v="33.857999999999997"/>
    <n v="440"/>
  </r>
  <r>
    <x v="171"/>
    <n v="4"/>
    <s v="Unlock"/>
    <x v="17"/>
    <n v="6.2"/>
    <n v="6.3"/>
    <n v="6.89"/>
    <n v="6.74"/>
    <n v="5.87"/>
    <n v="6.53"/>
    <n v="0.2"/>
    <s v="Low to Moderate"/>
    <s v="Above Avg."/>
    <x v="1"/>
    <n v="5.6910000000000007"/>
    <n v="6.6349999999999998"/>
    <n v="3.0350000000000001"/>
    <n v="33.378"/>
    <n v="472"/>
  </r>
  <r>
    <x v="172"/>
    <n v="5"/>
    <s v="Unlock"/>
    <x v="17"/>
    <n v="6.22"/>
    <n v="6.33"/>
    <n v="6.92"/>
    <n v="6.74"/>
    <n v="6.01"/>
    <n v="6.59"/>
    <n v="0.24"/>
    <s v="Low to Moderate"/>
    <s v="High"/>
    <x v="1"/>
    <n v="5.7729999999999997"/>
    <n v="6.665"/>
    <n v="3.125"/>
    <n v="33.774000000000001"/>
    <n v="446"/>
  </r>
  <r>
    <x v="173"/>
    <n v="4"/>
    <s v="Unlock"/>
    <x v="17"/>
    <n v="6.21"/>
    <n v="6.32"/>
    <n v="6.91"/>
    <n v="6.73"/>
    <n v="6.02"/>
    <n v="6.6"/>
    <n v="0.26"/>
    <s v="Moderate"/>
    <s v="Above Avg."/>
    <x v="1"/>
    <n v="5.774"/>
    <n v="6.665"/>
    <n v="3.1399999999999997"/>
    <n v="33.792000000000002"/>
    <n v="444"/>
  </r>
  <r>
    <x v="174"/>
    <n v="4"/>
    <s v="Unlock"/>
    <x v="17"/>
    <n v="6.17"/>
    <n v="6.26"/>
    <n v="6.89"/>
    <n v="6.7"/>
    <n v="6"/>
    <n v="6.57"/>
    <n v="0.21"/>
    <s v="Low to Moderate"/>
    <s v="Above Avg."/>
    <x v="1"/>
    <n v="5.7560000000000002"/>
    <n v="6.6349999999999998"/>
    <n v="3.105"/>
    <n v="33.643000000000001"/>
    <n v="458"/>
  </r>
  <r>
    <x v="175"/>
    <n v="4"/>
    <s v="Unlock"/>
    <x v="17"/>
    <n v="6.2"/>
    <n v="6.33"/>
    <n v="6.9"/>
    <n v="6.73"/>
    <n v="6"/>
    <n v="6.58"/>
    <n v="0.22"/>
    <s v="Low to Moderate"/>
    <s v="Above Avg."/>
    <x v="1"/>
    <n v="5.76"/>
    <n v="6.6550000000000002"/>
    <n v="3.11"/>
    <n v="33.700000000000003"/>
    <n v="454"/>
  </r>
  <r>
    <x v="176"/>
    <n v="4"/>
    <s v="Unlock"/>
    <x v="17"/>
    <n v="6.2"/>
    <n v="6.3"/>
    <n v="6.89"/>
    <n v="6.72"/>
    <n v="5.97"/>
    <n v="6.57"/>
    <n v="0.33"/>
    <s v="Low to Moderate"/>
    <s v="Above Avg."/>
    <x v="1"/>
    <n v="5.7409999999999997"/>
    <n v="6.6449999999999996"/>
    <n v="3.15"/>
    <n v="33.662999999999997"/>
    <n v="456"/>
  </r>
  <r>
    <x v="177"/>
    <n v="4"/>
    <s v="Unlock"/>
    <x v="17"/>
    <n v="6.21"/>
    <n v="6.33"/>
    <n v="6.92"/>
    <n v="6.74"/>
    <n v="6.02"/>
    <n v="6.6"/>
    <n v="0.17"/>
    <s v="Low to Moderate"/>
    <s v="Above Avg."/>
    <x v="1"/>
    <n v="5.7780000000000005"/>
    <n v="6.67"/>
    <n v="3.0949999999999998"/>
    <n v="33.769000000000005"/>
    <n v="448"/>
  </r>
  <r>
    <x v="178"/>
    <n v="4"/>
    <s v="Unlock"/>
    <x v="18"/>
    <n v="6.3"/>
    <n v="5.98"/>
    <n v="7.28"/>
    <n v="7.04"/>
    <n v="6.35"/>
    <n v="6.93"/>
    <n v="0.37"/>
    <s v="Moderate"/>
    <s v="Avg."/>
    <x v="1"/>
    <n v="6.0869999999999997"/>
    <n v="6.9849999999999994"/>
    <n v="3.36"/>
    <n v="35.590999999999994"/>
    <n v="375"/>
  </r>
  <r>
    <x v="179"/>
    <n v="5"/>
    <s v="Unlock"/>
    <x v="18"/>
    <n v="6.34"/>
    <n v="6.05"/>
    <n v="7.28"/>
    <n v="7.08"/>
    <n v="6.32"/>
    <n v="6.94"/>
    <n v="0.34"/>
    <s v="Low to Moderate"/>
    <s v="High"/>
    <x v="1"/>
    <n v="6.072000000000001"/>
    <n v="7.01"/>
    <n v="3.33"/>
    <n v="35.566000000000003"/>
    <n v="379"/>
  </r>
  <r>
    <x v="180"/>
    <n v="4"/>
    <s v="Unlock"/>
    <x v="18"/>
    <n v="6.31"/>
    <n v="6.04"/>
    <n v="6.91"/>
    <n v="6.87"/>
    <n v="5.79"/>
    <n v="6.56"/>
    <n v="0.35"/>
    <s v="Low to Moderate"/>
    <s v="Avg."/>
    <x v="1"/>
    <n v="5.6590000000000007"/>
    <n v="6.7149999999999999"/>
    <n v="3.07"/>
    <n v="33.477000000000004"/>
    <n v="468"/>
  </r>
  <r>
    <x v="181"/>
    <n v="4"/>
    <s v="Unlock"/>
    <x v="18"/>
    <n v="6.27"/>
    <n v="5.98"/>
    <n v="7.22"/>
    <n v="7.01"/>
    <n v="6.27"/>
    <n v="6.87"/>
    <n v="0.46"/>
    <s v="Moderate"/>
    <s v="Avg."/>
    <x v="1"/>
    <n v="6.0229999999999997"/>
    <n v="6.9399999999999995"/>
    <n v="3.3649999999999998"/>
    <n v="35.314"/>
    <n v="387"/>
  </r>
  <r>
    <x v="182"/>
    <n v="4"/>
    <s v="Unlock"/>
    <x v="18"/>
    <n v="6.29"/>
    <n v="5.96"/>
    <n v="7.27"/>
    <n v="7.05"/>
    <n v="6.3"/>
    <n v="6.91"/>
    <n v="0.39"/>
    <s v="Low to Moderate"/>
    <s v="Above Avg."/>
    <x v="1"/>
    <n v="6.0579999999999998"/>
    <n v="6.98"/>
    <n v="3.3449999999999998"/>
    <n v="35.478999999999999"/>
    <n v="381"/>
  </r>
  <r>
    <x v="183"/>
    <n v="4"/>
    <s v="Unlock"/>
    <x v="18"/>
    <n v="6.29"/>
    <n v="6"/>
    <n v="7.24"/>
    <n v="7.04"/>
    <n v="6.31"/>
    <n v="6.91"/>
    <n v="0.37"/>
    <s v="Moderate"/>
    <s v="Above Avg."/>
    <x v="1"/>
    <n v="6.0510000000000002"/>
    <n v="6.9749999999999996"/>
    <n v="3.34"/>
    <n v="35.442999999999998"/>
    <n v="385"/>
  </r>
  <r>
    <x v="184"/>
    <n v="4"/>
    <s v="Unlock"/>
    <x v="18"/>
    <n v="6.33"/>
    <n v="6.05"/>
    <n v="7.27"/>
    <n v="7.07"/>
    <n v="6.33"/>
    <n v="6.93"/>
    <n v="0.42"/>
    <s v="Moderate"/>
    <s v="Above Avg."/>
    <x v="1"/>
    <n v="6.0730000000000004"/>
    <n v="7"/>
    <n v="3.375"/>
    <n v="35.594000000000001"/>
    <n v="373"/>
  </r>
  <r>
    <x v="185"/>
    <n v="4"/>
    <s v="Unlock"/>
    <x v="18"/>
    <n v="6.34"/>
    <n v="6.02"/>
    <n v="7.31"/>
    <n v="7.09"/>
    <n v="6.37"/>
    <n v="6.97"/>
    <n v="0.25"/>
    <s v="Moderate"/>
    <s v="High"/>
    <x v="1"/>
    <n v="6.109"/>
    <n v="7.0299999999999994"/>
    <n v="3.31"/>
    <n v="35.697000000000003"/>
    <n v="367"/>
  </r>
  <r>
    <x v="186"/>
    <n v="5"/>
    <s v="Unlock"/>
    <x v="19"/>
    <n v="5.4"/>
    <n v="5.31"/>
    <n v="6.25"/>
    <n v="5.95"/>
    <n v="5.54"/>
    <n v="5.96"/>
    <n v="0.14000000000000001"/>
    <s v="Low"/>
    <s v="High"/>
    <x v="1"/>
    <n v="5.27"/>
    <n v="5.9550000000000001"/>
    <n v="2.84"/>
    <n v="30.56"/>
    <n v="514"/>
  </r>
  <r>
    <x v="187"/>
    <n v="5"/>
    <s v="Unlock"/>
    <x v="19"/>
    <n v="5.41"/>
    <n v="5.31"/>
    <m/>
    <m/>
    <m/>
    <m/>
    <n v="0.19"/>
    <s v="Low"/>
    <s v="High"/>
    <x v="1"/>
    <n v="0"/>
    <n v="0"/>
    <n v="9.5000000000000001E-2"/>
    <n v="9.5000000000000001E-2"/>
    <n v="585"/>
  </r>
  <r>
    <x v="188"/>
    <n v="5"/>
    <s v="Unlock"/>
    <x v="19"/>
    <n v="5.47"/>
    <n v="5.37"/>
    <n v="6.32"/>
    <n v="6.02"/>
    <n v="5.61"/>
    <n v="6.03"/>
    <n v="0.14000000000000001"/>
    <s v="Low"/>
    <s v="High"/>
    <x v="1"/>
    <n v="5.3330000000000002"/>
    <n v="6.0250000000000004"/>
    <n v="2.875"/>
    <n v="30.923999999999999"/>
    <n v="512"/>
  </r>
  <r>
    <x v="189"/>
    <n v="4"/>
    <s v="Unlock"/>
    <x v="19"/>
    <n v="5.34"/>
    <n v="5.25"/>
    <n v="6.18"/>
    <n v="5.88"/>
    <n v="5.48"/>
    <n v="5.9"/>
    <n v="0.15"/>
    <s v="Low"/>
    <s v="Above Avg."/>
    <x v="1"/>
    <n v="5.2119999999999997"/>
    <n v="5.8900000000000006"/>
    <n v="2.8150000000000004"/>
    <n v="30.231000000000002"/>
    <n v="526"/>
  </r>
  <r>
    <x v="190"/>
    <n v="4"/>
    <s v="Unlock"/>
    <x v="19"/>
    <n v="5.41"/>
    <n v="5.34"/>
    <n v="6.19"/>
    <n v="5.92"/>
    <n v="5.47"/>
    <n v="5.91"/>
    <n v="0.09"/>
    <s v="Low"/>
    <s v="Above Avg."/>
    <x v="1"/>
    <n v="5.2110000000000003"/>
    <n v="5.915"/>
    <n v="2.78"/>
    <n v="30.243000000000002"/>
    <n v="524"/>
  </r>
  <r>
    <x v="191"/>
    <n v="4"/>
    <s v="Unlock"/>
    <x v="19"/>
    <n v="5.34"/>
    <n v="5.25"/>
    <n v="6.18"/>
    <n v="5.88"/>
    <n v="5.47"/>
    <n v="5.89"/>
    <n v="0.18"/>
    <s v="Low"/>
    <s v="Above Avg."/>
    <x v="1"/>
    <n v="5.2069999999999999"/>
    <n v="5.8849999999999998"/>
    <n v="2.8249999999999997"/>
    <n v="30.215999999999998"/>
    <n v="530"/>
  </r>
  <r>
    <x v="192"/>
    <n v="4"/>
    <s v="Unlock"/>
    <x v="19"/>
    <n v="5.35"/>
    <n v="5.26"/>
    <n v="6.2"/>
    <n v="5.9"/>
    <n v="5.49"/>
    <n v="5.91"/>
    <n v="0.12"/>
    <s v="Low"/>
    <s v="Above Avg."/>
    <x v="1"/>
    <n v="5.2250000000000005"/>
    <n v="5.9050000000000002"/>
    <n v="2.8050000000000002"/>
    <n v="30.29"/>
    <n v="520"/>
  </r>
  <r>
    <x v="193"/>
    <n v="4"/>
    <s v="Unlock"/>
    <x v="19"/>
    <n v="5.34"/>
    <n v="5.25"/>
    <n v="6.17"/>
    <n v="5.88"/>
    <n v="5.46"/>
    <n v="5.89"/>
    <n v="0.2"/>
    <s v="Low"/>
    <s v="Above Avg."/>
    <x v="1"/>
    <n v="5.1980000000000004"/>
    <n v="5.8849999999999998"/>
    <n v="2.83"/>
    <n v="30.194000000000003"/>
    <n v="532"/>
  </r>
  <r>
    <x v="194"/>
    <n v="4"/>
    <s v="Unlock"/>
    <x v="19"/>
    <n v="5.34"/>
    <n v="5.24"/>
    <n v="6.18"/>
    <n v="5.88"/>
    <n v="5.49"/>
    <n v="5.9"/>
    <n v="0.2"/>
    <s v="Low"/>
    <s v="Above Avg."/>
    <x v="1"/>
    <n v="5.2170000000000005"/>
    <n v="5.8900000000000006"/>
    <n v="2.8450000000000002"/>
    <n v="30.276000000000003"/>
    <n v="522"/>
  </r>
  <r>
    <x v="195"/>
    <n v="4"/>
    <s v="Unlock"/>
    <x v="19"/>
    <n v="5.27"/>
    <n v="5.16"/>
    <n v="6.17"/>
    <n v="5.86"/>
    <n v="5.48"/>
    <n v="5.88"/>
    <n v="0.23"/>
    <s v="Low"/>
    <s v="Above Avg."/>
    <x v="1"/>
    <n v="5.2080000000000002"/>
    <n v="5.87"/>
    <n v="2.8550000000000004"/>
    <n v="30.219000000000001"/>
    <n v="528"/>
  </r>
  <r>
    <x v="196"/>
    <n v="4"/>
    <s v="Unlock"/>
    <x v="19"/>
    <n v="5.36"/>
    <n v="5.27"/>
    <n v="6.21"/>
    <n v="5.91"/>
    <n v="5.5"/>
    <n v="5.92"/>
    <n v="0.18"/>
    <s v="Low"/>
    <s v="Above Avg."/>
    <x v="1"/>
    <n v="5.234"/>
    <n v="5.915"/>
    <n v="2.84"/>
    <n v="30.372"/>
    <n v="518"/>
  </r>
  <r>
    <x v="197"/>
    <n v="5"/>
    <s v="Unlock"/>
    <x v="20"/>
    <n v="4.33"/>
    <n v="3.29"/>
    <n v="7.47"/>
    <n v="6.92"/>
    <n v="6.62"/>
    <n v="6.92"/>
    <n v="0.59"/>
    <s v="Moderately High"/>
    <s v="High"/>
    <x v="1"/>
    <n v="6.298"/>
    <n v="6.92"/>
    <n v="3.605"/>
    <n v="36.338999999999992"/>
    <n v="349"/>
  </r>
  <r>
    <x v="198"/>
    <n v="4"/>
    <s v="Unlock"/>
    <x v="20"/>
    <n v="3.26"/>
    <n v="3.89"/>
    <n v="6.77"/>
    <n v="6.42"/>
    <n v="5.75"/>
    <n v="6.37"/>
    <n v="0.63"/>
    <s v="Moderate"/>
    <s v="Above Avg."/>
    <x v="1"/>
    <n v="5.5830000000000002"/>
    <n v="6.3949999999999996"/>
    <n v="3.19"/>
    <n v="32.728999999999999"/>
    <n v="482"/>
  </r>
  <r>
    <x v="199"/>
    <n v="4"/>
    <s v="Unlock"/>
    <x v="20"/>
    <n v="1.87"/>
    <n v="1.51"/>
    <n v="6.18"/>
    <n v="5.51"/>
    <n v="5.45"/>
    <n v="5.8"/>
    <n v="0.97"/>
    <s v="Moderate"/>
    <s v="Above Avg."/>
    <x v="1"/>
    <n v="5.1970000000000001"/>
    <n v="5.6549999999999994"/>
    <n v="3.21"/>
    <n v="30.111000000000001"/>
    <n v="538"/>
  </r>
  <r>
    <x v="200"/>
    <n v="4"/>
    <s v="Unlock"/>
    <x v="20"/>
    <n v="5.38"/>
    <n v="4.91"/>
    <n v="6.32"/>
    <n v="6.35"/>
    <n v="4.92"/>
    <n v="5.9"/>
    <n v="1.02"/>
    <s v="Low to Moderate"/>
    <s v="Avg."/>
    <x v="1"/>
    <n v="4.9880000000000004"/>
    <n v="6.125"/>
    <n v="2.9699999999999998"/>
    <n v="30.184000000000001"/>
    <n v="534"/>
  </r>
  <r>
    <x v="201"/>
    <n v="5"/>
    <s v="Unlock"/>
    <x v="20"/>
    <n v="3.29"/>
    <n v="2.44"/>
    <n v="6.79"/>
    <n v="6.19"/>
    <n v="5.71"/>
    <n v="6.33"/>
    <n v="0.75"/>
    <s v="Moderate"/>
    <s v="High"/>
    <x v="1"/>
    <n v="5.5709999999999997"/>
    <n v="6.26"/>
    <n v="3.23"/>
    <n v="32.463000000000001"/>
    <n v="490"/>
  </r>
  <r>
    <x v="202"/>
    <n v="4"/>
    <s v="Unlock"/>
    <x v="21"/>
    <n v="4.74"/>
    <n v="3.89"/>
    <n v="6.99"/>
    <n v="6.66"/>
    <n v="5.98"/>
    <n v="6.57"/>
    <n v="0.97"/>
    <s v="Moderate"/>
    <s v="Above Avg."/>
    <x v="1"/>
    <n v="5.7860000000000005"/>
    <n v="6.6150000000000002"/>
    <n v="3.4750000000000001"/>
    <n v="34.063000000000002"/>
    <n v="420"/>
  </r>
  <r>
    <x v="203"/>
    <n v="4"/>
    <s v="Unlock"/>
    <x v="21"/>
    <n v="4.74"/>
    <n v="4.1399999999999997"/>
    <n v="6.87"/>
    <n v="6.5"/>
    <n v="5.67"/>
    <n v="6.3"/>
    <n v="0.67"/>
    <s v="Low to Moderate"/>
    <s v="Avg."/>
    <x v="1"/>
    <n v="5.5830000000000002"/>
    <n v="6.4"/>
    <n v="3.17"/>
    <n v="32.719000000000001"/>
    <n v="484"/>
  </r>
  <r>
    <x v="204"/>
    <n v="4"/>
    <s v="Unlock"/>
    <x v="21"/>
    <n v="4.99"/>
    <n v="4.0199999999999996"/>
    <n v="7.17"/>
    <n v="6.88"/>
    <n v="5.61"/>
    <n v="6.58"/>
    <n v="0.59"/>
    <s v="Moderate"/>
    <s v="High"/>
    <x v="1"/>
    <n v="5.673"/>
    <n v="6.73"/>
    <n v="3.1"/>
    <n v="33.579000000000001"/>
    <n v="464"/>
  </r>
  <r>
    <x v="205"/>
    <n v="5"/>
    <s v="Unlock"/>
    <x v="21"/>
    <n v="5.91"/>
    <n v="5.31"/>
    <n v="6.95"/>
    <n v="6.91"/>
    <n v="5.53"/>
    <n v="6.48"/>
    <n v="0.56000000000000005"/>
    <s v="Low to Moderate"/>
    <s v="Above Avg."/>
    <x v="1"/>
    <n v="5.5449999999999999"/>
    <n v="6.6950000000000003"/>
    <n v="3.0449999999999999"/>
    <n v="33.07"/>
    <n v="478"/>
  </r>
  <r>
    <x v="206"/>
    <n v="4"/>
    <s v="Unlock"/>
    <x v="21"/>
    <n v="5.8"/>
    <n v="5.17"/>
    <n v="7.38"/>
    <n v="7.44"/>
    <n v="6.06"/>
    <n v="6.93"/>
    <n v="0.75"/>
    <s v="Moderate"/>
    <s v="Above Avg."/>
    <x v="1"/>
    <n v="5.9819999999999993"/>
    <n v="7.1850000000000005"/>
    <n v="3.4049999999999998"/>
    <n v="35.721000000000004"/>
    <n v="363"/>
  </r>
  <r>
    <x v="207"/>
    <n v="5"/>
    <s v="Unlock"/>
    <x v="21"/>
    <n v="5.28"/>
    <n v="4.5199999999999996"/>
    <n v="7.29"/>
    <n v="6.84"/>
    <n v="6.41"/>
    <n v="6.89"/>
    <n v="0.56000000000000005"/>
    <s v="Moderate"/>
    <s v="High"/>
    <x v="1"/>
    <n v="6.1210000000000004"/>
    <n v="6.8650000000000002"/>
    <n v="3.4850000000000003"/>
    <n v="35.578000000000003"/>
    <n v="377"/>
  </r>
  <r>
    <x v="208"/>
    <n v="4"/>
    <s v="Unlock"/>
    <x v="21"/>
    <n v="4.59"/>
    <n v="3.63"/>
    <n v="7.03"/>
    <n v="6.57"/>
    <n v="6.05"/>
    <n v="6.55"/>
    <n v="0.7"/>
    <s v="Moderate"/>
    <s v="Above Avg."/>
    <x v="1"/>
    <n v="5.8369999999999997"/>
    <n v="6.5600000000000005"/>
    <n v="3.375"/>
    <n v="34.006"/>
    <n v="424"/>
  </r>
  <r>
    <x v="209"/>
    <n v="4"/>
    <s v="Unlock"/>
    <x v="21"/>
    <n v="4.4000000000000004"/>
    <n v="3.52"/>
    <n v="7.09"/>
    <n v="6.6"/>
    <n v="6.34"/>
    <n v="6.71"/>
    <n v="0.78"/>
    <s v="Moderate"/>
    <s v="Above Avg."/>
    <x v="1"/>
    <n v="6.0060000000000002"/>
    <n v="6.6549999999999994"/>
    <n v="3.56"/>
    <n v="34.887999999999998"/>
    <n v="397"/>
  </r>
  <r>
    <x v="210"/>
    <n v="4"/>
    <s v="Unlock"/>
    <x v="22"/>
    <n v="6.34"/>
    <n v="5.65"/>
    <n v="7.54"/>
    <n v="7.32"/>
    <n v="8.32"/>
    <n v="7.46"/>
    <n v="1.6"/>
    <s v="Moderately High"/>
    <s v="Above Avg."/>
    <x v="1"/>
    <n v="7.1760000000000002"/>
    <n v="7.3900000000000006"/>
    <n v="4.96"/>
    <n v="41.268000000000001"/>
    <n v="311"/>
  </r>
  <r>
    <x v="211"/>
    <n v="4"/>
    <s v="Unlock"/>
    <x v="22"/>
    <n v="7.61"/>
    <n v="6.71"/>
    <n v="8.0399999999999991"/>
    <n v="8.1"/>
    <n v="7.26"/>
    <n v="7.73"/>
    <n v="1.37"/>
    <s v="High"/>
    <s v="Above Avg."/>
    <x v="1"/>
    <n v="6.8460000000000001"/>
    <n v="7.915"/>
    <n v="4.3149999999999995"/>
    <n v="40.683"/>
    <n v="319"/>
  </r>
  <r>
    <x v="212"/>
    <n v="5"/>
    <s v="Unlock"/>
    <x v="22"/>
    <n v="5.98"/>
    <n v="6.71"/>
    <n v="8.1300000000000008"/>
    <n v="8.1199999999999992"/>
    <n v="6.93"/>
    <n v="7.99"/>
    <n v="1.46"/>
    <s v="Moderate"/>
    <s v="High"/>
    <x v="1"/>
    <n v="6.7170000000000005"/>
    <n v="8.0549999999999997"/>
    <n v="4.1950000000000003"/>
    <n v="40.456000000000003"/>
    <n v="323"/>
  </r>
  <r>
    <x v="213"/>
    <n v="4"/>
    <s v="Unlock"/>
    <x v="22"/>
    <n v="7.15"/>
    <n v="6.42"/>
    <n v="8.02"/>
    <n v="7.94"/>
    <n v="8.33"/>
    <n v="7.76"/>
    <n v="1.51"/>
    <s v="High"/>
    <s v="Above Avg."/>
    <x v="1"/>
    <n v="7.3730000000000002"/>
    <n v="7.85"/>
    <n v="4.92"/>
    <n v="42.739000000000004"/>
    <n v="299"/>
  </r>
  <r>
    <x v="214"/>
    <n v="4"/>
    <s v="Unlock"/>
    <x v="23"/>
    <n v="4.6900000000000004"/>
    <n v="3.9"/>
    <n v="6.64"/>
    <n v="6.36"/>
    <n v="5.72"/>
    <n v="6.27"/>
    <n v="0.65"/>
    <s v="Moderate"/>
    <s v="Avg."/>
    <x v="1"/>
    <n v="5.516"/>
    <n v="6.3149999999999995"/>
    <n v="3.1850000000000001"/>
    <n v="32.363"/>
    <n v="492"/>
  </r>
  <r>
    <x v="215"/>
    <n v="4"/>
    <s v="Unlock"/>
    <x v="23"/>
    <n v="4.6900000000000004"/>
    <n v="4.0999999999999996"/>
    <n v="6.59"/>
    <n v="6.3"/>
    <n v="5.7"/>
    <n v="6.25"/>
    <n v="0.65"/>
    <s v="Low to Moderate"/>
    <s v="Above Avg."/>
    <x v="1"/>
    <n v="5.4860000000000007"/>
    <n v="6.2750000000000004"/>
    <n v="3.1750000000000003"/>
    <n v="32.183"/>
    <n v="498"/>
  </r>
  <r>
    <x v="216"/>
    <n v="5"/>
    <s v="Unlock"/>
    <x v="23"/>
    <n v="5.98"/>
    <n v="5.44"/>
    <n v="7.1"/>
    <n v="7.01"/>
    <n v="5.95"/>
    <n v="6.7"/>
    <n v="0.5"/>
    <s v="Moderate"/>
    <s v="High"/>
    <x v="1"/>
    <n v="5.8149999999999995"/>
    <n v="6.8550000000000004"/>
    <n v="3.2250000000000001"/>
    <n v="34.380000000000003"/>
    <n v="412"/>
  </r>
  <r>
    <x v="217"/>
    <n v="5"/>
    <s v="Unlock"/>
    <x v="23"/>
    <n v="4.8"/>
    <n v="4.01"/>
    <n v="6.99"/>
    <n v="6.48"/>
    <n v="6.23"/>
    <n v="6.59"/>
    <n v="0.74"/>
    <s v="Moderate"/>
    <s v="Above Avg."/>
    <x v="1"/>
    <n v="5.9110000000000005"/>
    <n v="6.5350000000000001"/>
    <n v="3.4850000000000003"/>
    <n v="34.288000000000004"/>
    <n v="414"/>
  </r>
  <r>
    <x v="218"/>
    <n v="4"/>
    <s v="Unlock"/>
    <x v="23"/>
    <n v="4.5599999999999996"/>
    <n v="3.8"/>
    <n v="6.86"/>
    <n v="6.47"/>
    <n v="5.61"/>
    <n v="6.35"/>
    <n v="0.42"/>
    <s v="Moderate"/>
    <s v="Above Avg."/>
    <x v="1"/>
    <n v="5.5490000000000004"/>
    <n v="6.41"/>
    <n v="3.0150000000000001"/>
    <n v="32.481999999999999"/>
    <n v="488"/>
  </r>
  <r>
    <x v="219"/>
    <n v="5"/>
    <s v="Unlock"/>
    <x v="23"/>
    <n v="5.81"/>
    <n v="5.17"/>
    <n v="6.93"/>
    <n v="6.9"/>
    <n v="7.19"/>
    <n v="7.24"/>
    <n v="0.46"/>
    <s v="Low to Moderate"/>
    <s v="High"/>
    <x v="1"/>
    <n v="6.3670000000000009"/>
    <n v="7.07"/>
    <n v="3.8250000000000002"/>
    <n v="37.066000000000003"/>
    <n v="341"/>
  </r>
  <r>
    <x v="220"/>
    <n v="5"/>
    <s v="Unlock"/>
    <x v="24"/>
    <n v="6.15"/>
    <n v="5.6"/>
    <n v="7.34"/>
    <n v="7.07"/>
    <n v="6.41"/>
    <n v="6.97"/>
    <n v="0.43"/>
    <s v="Low to Moderate"/>
    <s v="Avg."/>
    <x v="1"/>
    <n v="6.141"/>
    <n v="7.02"/>
    <n v="3.42"/>
    <n v="35.883000000000003"/>
    <n v="353"/>
  </r>
  <r>
    <x v="221"/>
    <n v="4"/>
    <s v="Unlock"/>
    <x v="24"/>
    <n v="5.98"/>
    <n v="5.27"/>
    <n v="7.57"/>
    <n v="7.16"/>
    <n v="6.57"/>
    <n v="7.09"/>
    <n v="0.54"/>
    <s v="Moderate"/>
    <s v="Avg."/>
    <x v="1"/>
    <n v="6.3130000000000006"/>
    <n v="7.125"/>
    <n v="3.5550000000000002"/>
    <n v="36.744"/>
    <n v="345"/>
  </r>
  <r>
    <x v="222"/>
    <n v="4"/>
    <s v="Unlock"/>
    <x v="24"/>
    <n v="5.96"/>
    <n v="4.96"/>
    <n v="7.46"/>
    <n v="7.15"/>
    <n v="6.37"/>
    <n v="6.92"/>
    <n v="0.63"/>
    <s v="Moderate"/>
    <s v="Avg."/>
    <x v="1"/>
    <n v="6.1690000000000005"/>
    <n v="7.0350000000000001"/>
    <n v="3.5"/>
    <n v="36.076999999999998"/>
    <n v="351"/>
  </r>
  <r>
    <x v="223"/>
    <n v="4"/>
    <s v="Unlock"/>
    <x v="25"/>
    <n v="0.25"/>
    <n v="1.48"/>
    <n v="6.51"/>
    <n v="5.38"/>
    <n v="5.38"/>
    <n v="5.8"/>
    <n v="0.86"/>
    <s v="Moderate"/>
    <s v="Above Avg."/>
    <x v="1"/>
    <n v="5.2940000000000005"/>
    <n v="5.59"/>
    <n v="3.12"/>
    <n v="30.182000000000002"/>
    <n v="536"/>
  </r>
  <r>
    <x v="224"/>
    <n v="5"/>
    <s v="Unlock"/>
    <x v="25"/>
    <n v="-0.12"/>
    <n v="-0.21"/>
    <n v="6.04"/>
    <n v="4.78"/>
    <n v="5.12"/>
    <n v="5.45"/>
    <n v="0.46"/>
    <s v="Moderate"/>
    <s v="Above Avg."/>
    <x v="1"/>
    <n v="4.9760000000000009"/>
    <n v="5.1150000000000002"/>
    <n v="2.79"/>
    <n v="27.948"/>
    <n v="558"/>
  </r>
  <r>
    <x v="225"/>
    <n v="4"/>
    <s v="Unlock"/>
    <x v="25"/>
    <n v="1.95"/>
    <n v="3.53"/>
    <n v="5.67"/>
    <n v="5.37"/>
    <n v="4.8099999999999996"/>
    <n v="5.31"/>
    <n v="1.1499999999999999"/>
    <s v="Moderate"/>
    <s v="Avg."/>
    <x v="1"/>
    <n v="4.673"/>
    <n v="5.34"/>
    <n v="2.9799999999999995"/>
    <n v="27.678999999999998"/>
    <n v="560"/>
  </r>
  <r>
    <x v="226"/>
    <n v="4"/>
    <s v="Unlock"/>
    <x v="25"/>
    <n v="-0.21"/>
    <n v="0.31"/>
    <n v="5.83"/>
    <n v="4.63"/>
    <n v="4.9800000000000004"/>
    <n v="5.23"/>
    <n v="0.93"/>
    <s v="Moderate"/>
    <s v="Above Avg."/>
    <x v="1"/>
    <n v="4.822000000000001"/>
    <n v="4.93"/>
    <n v="2.9550000000000001"/>
    <n v="27.280999999999999"/>
    <n v="562"/>
  </r>
  <r>
    <x v="227"/>
    <n v="5"/>
    <s v="Unlock"/>
    <x v="25"/>
    <n v="1.99"/>
    <n v="1.66"/>
    <n v="6.66"/>
    <n v="5.54"/>
    <n v="6.03"/>
    <n v="6.17"/>
    <n v="1.1000000000000001"/>
    <s v="Moderate"/>
    <s v="High"/>
    <x v="1"/>
    <n v="5.6790000000000003"/>
    <n v="5.8550000000000004"/>
    <n v="3.5650000000000004"/>
    <n v="32.311999999999998"/>
    <n v="494"/>
  </r>
  <r>
    <x v="228"/>
    <n v="5"/>
    <s v="Unlock"/>
    <x v="25"/>
    <n v="4.49"/>
    <n v="3.29"/>
    <n v="6.76"/>
    <n v="6.43"/>
    <m/>
    <m/>
    <n v="0.27"/>
    <s v="Moderate"/>
    <s v="High"/>
    <x v="1"/>
    <n v="2.7040000000000002"/>
    <n v="3.2149999999999999"/>
    <n v="0.13500000000000001"/>
    <n v="14.677"/>
    <n v="581"/>
  </r>
  <r>
    <x v="229"/>
    <n v="4"/>
    <s v="Unlock"/>
    <x v="25"/>
    <n v="0.12"/>
    <n v="1.64"/>
    <n v="6.11"/>
    <n v="5"/>
    <n v="5.69"/>
    <n v="5.8"/>
    <n v="0.96"/>
    <s v="Moderate"/>
    <s v="Above Avg."/>
    <x v="1"/>
    <n v="5.2890000000000006"/>
    <n v="5.4"/>
    <n v="3.3250000000000002"/>
    <n v="29.992000000000001"/>
    <n v="540"/>
  </r>
  <r>
    <x v="230"/>
    <n v="4"/>
    <s v="Unlock"/>
    <x v="25"/>
    <n v="2.21"/>
    <n v="4.46"/>
    <n v="6.58"/>
    <n v="6.09"/>
    <n v="5.56"/>
    <n v="6.17"/>
    <n v="0.99"/>
    <s v="Moderate"/>
    <s v="Above Avg."/>
    <x v="1"/>
    <n v="5.4119999999999999"/>
    <n v="6.13"/>
    <n v="3.2749999999999999"/>
    <n v="31.771000000000001"/>
    <n v="506"/>
  </r>
  <r>
    <x v="231"/>
    <n v="4"/>
    <s v="Unlock"/>
    <x v="26"/>
    <n v="8.7200000000000006"/>
    <n v="3.9"/>
    <n v="15.34"/>
    <n v="10.199999999999999"/>
    <n v="13"/>
    <n v="11.57"/>
    <n v="2.68"/>
    <s v="Very High"/>
    <s v="Above Avg."/>
    <x v="1"/>
    <n v="12.635999999999999"/>
    <n v="10.885"/>
    <n v="7.84"/>
    <n v="67.518000000000001"/>
    <n v="200"/>
  </r>
  <r>
    <x v="232"/>
    <n v="4"/>
    <s v="Unlock"/>
    <x v="26"/>
    <n v="13.63"/>
    <n v="12.14"/>
    <n v="19.8"/>
    <n v="11.86"/>
    <n v="17.28"/>
    <n v="14.61"/>
    <n v="2.87"/>
    <s v="Very High"/>
    <s v="High"/>
    <x v="1"/>
    <n v="16.560000000000002"/>
    <n v="13.234999999999999"/>
    <n v="10.075000000000001"/>
    <n v="86.225000000000009"/>
    <n v="102"/>
  </r>
  <r>
    <x v="233"/>
    <n v="4"/>
    <s v="Unlock"/>
    <x v="26"/>
    <n v="3.76"/>
    <n v="0.3"/>
    <n v="15.1"/>
    <n v="8.1999999999999993"/>
    <n v="14.44"/>
    <n v="11.85"/>
    <n v="1.91"/>
    <s v="Very High"/>
    <s v="Above Avg."/>
    <x v="1"/>
    <n v="13.26"/>
    <n v="10.024999999999999"/>
    <n v="8.1749999999999989"/>
    <n v="68.004999999999995"/>
    <n v="196"/>
  </r>
  <r>
    <x v="234"/>
    <n v="4"/>
    <s v="Unlock"/>
    <x v="26"/>
    <n v="-0.61"/>
    <n v="-5.91"/>
    <n v="10.73"/>
    <n v="3.47"/>
    <n v="12.43"/>
    <n v="8.61"/>
    <n v="1.74"/>
    <s v="Very High"/>
    <s v="Avg."/>
    <x v="1"/>
    <n v="10.507000000000001"/>
    <n v="6.04"/>
    <n v="7.085"/>
    <n v="50.686000000000007"/>
    <n v="283"/>
  </r>
  <r>
    <x v="235"/>
    <n v="4"/>
    <s v="Unlock"/>
    <x v="26"/>
    <n v="-1.29"/>
    <n v="-7.05"/>
    <n v="10.75"/>
    <n v="3.26"/>
    <n v="11.27"/>
    <n v="8.07"/>
    <n v="2.1800000000000002"/>
    <s v="Very High"/>
    <s v="Avg."/>
    <x v="1"/>
    <n v="9.9349999999999987"/>
    <n v="5.665"/>
    <n v="6.7249999999999996"/>
    <n v="47.86"/>
    <n v="287"/>
  </r>
  <r>
    <x v="236"/>
    <n v="4"/>
    <s v="Unlock"/>
    <x v="26"/>
    <n v="6.93"/>
    <n v="2.4"/>
    <n v="17.28"/>
    <n v="9.5299999999999994"/>
    <n v="14.53"/>
    <n v="12.75"/>
    <n v="5.98"/>
    <s v="Very High"/>
    <s v="Above Avg."/>
    <x v="1"/>
    <n v="14.177"/>
    <n v="11.14"/>
    <n v="10.254999999999999"/>
    <n v="75.066000000000003"/>
    <n v="160"/>
  </r>
  <r>
    <x v="237"/>
    <n v="5"/>
    <s v="Unlock"/>
    <x v="26"/>
    <n v="5.07"/>
    <n v="1.82"/>
    <n v="17.63"/>
    <n v="10.4"/>
    <n v="18.260000000000002"/>
    <n v="14.41"/>
    <n v="2.89"/>
    <s v="Very High"/>
    <s v="High"/>
    <x v="1"/>
    <n v="16.182000000000002"/>
    <n v="12.405000000000001"/>
    <n v="10.575000000000001"/>
    <n v="83.931000000000012"/>
    <n v="112"/>
  </r>
  <r>
    <x v="238"/>
    <n v="5"/>
    <s v="Unlock"/>
    <x v="26"/>
    <n v="13.41"/>
    <n v="7.26"/>
    <n v="20.96"/>
    <n v="13.18"/>
    <n v="16.27"/>
    <n v="15.44"/>
    <n v="2.5299999999999998"/>
    <s v="Very High"/>
    <s v="High"/>
    <x v="1"/>
    <n v="16.518999999999998"/>
    <n v="14.309999999999999"/>
    <n v="9.4"/>
    <n v="87.576999999999998"/>
    <n v="91"/>
  </r>
  <r>
    <x v="239"/>
    <n v="4"/>
    <s v="Unlock"/>
    <x v="26"/>
    <n v="-0.94"/>
    <n v="-5.67"/>
    <n v="16.27"/>
    <n v="4.33"/>
    <n v="14.06"/>
    <n v="11.02"/>
    <n v="2.93"/>
    <s v="Very High"/>
    <s v="Above Avg."/>
    <x v="1"/>
    <n v="13.538"/>
    <n v="7.6749999999999998"/>
    <n v="8.495000000000001"/>
    <n v="64.459000000000003"/>
    <n v="210"/>
  </r>
  <r>
    <x v="240"/>
    <n v="4"/>
    <s v="Unlock"/>
    <x v="26"/>
    <n v="7.84"/>
    <n v="3.41"/>
    <n v="14.43"/>
    <n v="8.92"/>
    <n v="13.09"/>
    <n v="11.29"/>
    <n v="1.8"/>
    <s v="Very High"/>
    <s v="Above Avg."/>
    <x v="1"/>
    <n v="12.317"/>
    <n v="10.105"/>
    <n v="7.4450000000000003"/>
    <n v="64.605999999999995"/>
    <n v="206"/>
  </r>
  <r>
    <x v="241"/>
    <n v="4"/>
    <s v="Unlock"/>
    <x v="26"/>
    <n v="1.07"/>
    <n v="-4.09"/>
    <n v="14.7"/>
    <n v="6.89"/>
    <n v="13.47"/>
    <n v="10.63"/>
    <n v="1.98"/>
    <s v="Very High"/>
    <s v="Above Avg."/>
    <x v="1"/>
    <n v="12.615"/>
    <n v="8.76"/>
    <n v="7.7250000000000005"/>
    <n v="63.089999999999996"/>
    <n v="220"/>
  </r>
  <r>
    <x v="242"/>
    <n v="4"/>
    <s v="Unlock"/>
    <x v="26"/>
    <n v="3.73"/>
    <n v="-0.12"/>
    <n v="13.47"/>
    <n v="7.07"/>
    <n v="12.81"/>
    <n v="10.54"/>
    <n v="1.91"/>
    <s v="Very High"/>
    <s v="Above Avg."/>
    <x v="1"/>
    <n v="11.793000000000001"/>
    <n v="8.8049999999999997"/>
    <n v="7.36"/>
    <n v="60.349000000000004"/>
    <n v="240"/>
  </r>
  <r>
    <x v="243"/>
    <n v="5"/>
    <s v="Unlock"/>
    <x v="26"/>
    <n v="18.52"/>
    <n v="16.559999999999999"/>
    <n v="23.85"/>
    <n v="17.39"/>
    <n v="25.57"/>
    <n v="19.600000000000001"/>
    <n v="3.22"/>
    <s v="Very High"/>
    <s v="High"/>
    <x v="1"/>
    <n v="22.325000000000003"/>
    <n v="18.495000000000001"/>
    <n v="14.395"/>
    <n v="118.36"/>
    <n v="17"/>
  </r>
  <r>
    <x v="244"/>
    <n v="4"/>
    <s v="Unlock"/>
    <x v="26"/>
    <n v="6.46"/>
    <n v="4.26"/>
    <n v="14.29"/>
    <n v="10.130000000000001"/>
    <n v="12.04"/>
    <n v="10.99"/>
    <n v="1.31"/>
    <s v="Very High"/>
    <s v="Avg."/>
    <x v="1"/>
    <n v="11.736000000000001"/>
    <n v="10.56"/>
    <n v="6.6749999999999998"/>
    <n v="63.003"/>
    <n v="222"/>
  </r>
  <r>
    <x v="245"/>
    <n v="5"/>
    <s v="Unlock"/>
    <x v="26"/>
    <n v="1.95"/>
    <n v="-2"/>
    <n v="14.14"/>
    <n v="6.97"/>
    <n v="13.8"/>
    <n v="10.91"/>
    <n v="1.85"/>
    <s v="Very High"/>
    <s v="Above Avg."/>
    <x v="1"/>
    <n v="12.556000000000001"/>
    <n v="8.94"/>
    <n v="7.8250000000000002"/>
    <n v="63.373000000000005"/>
    <n v="218"/>
  </r>
  <r>
    <x v="246"/>
    <n v="4"/>
    <s v="Unlock"/>
    <x v="27"/>
    <n v="4.6500000000000004"/>
    <n v="2.83"/>
    <n v="8.58"/>
    <n v="6.85"/>
    <n v="8.1300000000000008"/>
    <n v="7.51"/>
    <n v="1.8"/>
    <s v="Moderately High"/>
    <s v="Avg."/>
    <x v="1"/>
    <n v="7.4970000000000008"/>
    <n v="7.18"/>
    <n v="4.9650000000000007"/>
    <n v="41.816000000000003"/>
    <n v="307"/>
  </r>
  <r>
    <x v="247"/>
    <n v="4"/>
    <s v="Unlock"/>
    <x v="27"/>
    <n v="4.5199999999999996"/>
    <n v="3.33"/>
    <n v="7.04"/>
    <n v="4.96"/>
    <n v="10.19"/>
    <n v="7.39"/>
    <n v="2.19"/>
    <s v="Moderately High"/>
    <s v="High"/>
    <x v="1"/>
    <n v="7.9109999999999996"/>
    <n v="6.1749999999999998"/>
    <n v="6.1899999999999995"/>
    <n v="42.272999999999996"/>
    <n v="301"/>
  </r>
  <r>
    <x v="248"/>
    <n v="4"/>
    <s v="Unlock"/>
    <x v="27"/>
    <n v="2.98"/>
    <n v="2.0499999999999998"/>
    <n v="9.1300000000000008"/>
    <n v="6.65"/>
    <n v="7.52"/>
    <n v="7.5"/>
    <n v="1.64"/>
    <s v="Moderately High"/>
    <s v="Avg."/>
    <x v="1"/>
    <n v="7.4120000000000008"/>
    <n v="7.0750000000000002"/>
    <n v="4.58"/>
    <n v="40.966000000000001"/>
    <n v="313"/>
  </r>
  <r>
    <x v="249"/>
    <n v="4"/>
    <s v="Unlock"/>
    <x v="27"/>
    <n v="0.83"/>
    <n v="-0.06"/>
    <n v="8.41"/>
    <n v="5.12"/>
    <n v="8.7100000000000009"/>
    <n v="7.24"/>
    <n v="1.73"/>
    <s v="Moderately High"/>
    <s v="Above Avg."/>
    <x v="1"/>
    <n v="7.7190000000000012"/>
    <n v="6.18"/>
    <n v="5.2200000000000006"/>
    <n v="40.737000000000002"/>
    <n v="317"/>
  </r>
  <r>
    <x v="250"/>
    <n v="5"/>
    <s v="Unlock"/>
    <x v="27"/>
    <n v="4.6100000000000003"/>
    <n v="2.54"/>
    <n v="9.4600000000000009"/>
    <n v="7.05"/>
    <n v="8.56"/>
    <n v="8.0500000000000007"/>
    <n v="1.78"/>
    <s v="High"/>
    <s v="Above Avg."/>
    <x v="1"/>
    <n v="8.0640000000000001"/>
    <n v="7.5500000000000007"/>
    <n v="5.17"/>
    <n v="44.462000000000003"/>
    <n v="297"/>
  </r>
  <r>
    <x v="251"/>
    <n v="4"/>
    <s v="Unlock"/>
    <x v="27"/>
    <n v="6.66"/>
    <n v="3.78"/>
    <n v="10.65"/>
    <n v="7.52"/>
    <n v="8.02"/>
    <n v="8.35"/>
    <n v="2.54"/>
    <s v="High"/>
    <s v="Above Avg."/>
    <x v="1"/>
    <n v="8.27"/>
    <n v="7.9349999999999996"/>
    <n v="5.2799999999999994"/>
    <n v="45.96"/>
    <n v="291"/>
  </r>
  <r>
    <x v="252"/>
    <n v="5"/>
    <s v="Unlock"/>
    <x v="27"/>
    <n v="6.85"/>
    <n v="5.35"/>
    <n v="8.1199999999999992"/>
    <n v="7.51"/>
    <n v="8"/>
    <n v="7.83"/>
    <n v="1.8"/>
    <s v="High"/>
    <s v="Avg."/>
    <x v="1"/>
    <n v="7.2479999999999993"/>
    <n v="7.67"/>
    <n v="4.9000000000000004"/>
    <n v="41.984000000000002"/>
    <n v="305"/>
  </r>
  <r>
    <x v="253"/>
    <n v="5"/>
    <s v="Unlock"/>
    <x v="27"/>
    <n v="4.8"/>
    <n v="4.03"/>
    <n v="10.36"/>
    <n v="8.0299999999999994"/>
    <m/>
    <m/>
    <n v="0.62"/>
    <s v="Moderately High"/>
    <s v="High"/>
    <x v="1"/>
    <n v="4.1440000000000001"/>
    <n v="4.0149999999999997"/>
    <n v="0.31"/>
    <n v="20.771999999999998"/>
    <n v="575"/>
  </r>
  <r>
    <x v="254"/>
    <n v="5"/>
    <s v="Unlock"/>
    <x v="27"/>
    <n v="4.71"/>
    <n v="5.18"/>
    <n v="11.87"/>
    <n v="8.4"/>
    <n v="11.2"/>
    <n v="9.86"/>
    <n v="1.25"/>
    <s v="Moderately High"/>
    <s v="High"/>
    <x v="1"/>
    <n v="10.347999999999999"/>
    <n v="9.129999999999999"/>
    <n v="6.2249999999999996"/>
    <n v="55.528999999999996"/>
    <n v="264"/>
  </r>
  <r>
    <x v="255"/>
    <n v="4"/>
    <s v="Unlock"/>
    <x v="27"/>
    <n v="5.17"/>
    <n v="3.87"/>
    <n v="9.31"/>
    <n v="6.91"/>
    <n v="9.06"/>
    <n v="8.14"/>
    <n v="1.5"/>
    <s v="High"/>
    <s v="High"/>
    <x v="1"/>
    <n v="8.2540000000000013"/>
    <n v="7.5250000000000004"/>
    <n v="5.28"/>
    <n v="45.092000000000006"/>
    <n v="295"/>
  </r>
  <r>
    <x v="256"/>
    <n v="4"/>
    <s v="Unlock"/>
    <x v="28"/>
    <n v="1.98"/>
    <n v="0.84"/>
    <n v="9.2799999999999994"/>
    <n v="6.13"/>
    <n v="8.23"/>
    <n v="7.43"/>
    <n v="1.94"/>
    <s v="Moderate"/>
    <s v="Avg."/>
    <x v="1"/>
    <n v="7.827"/>
    <n v="6.7799999999999994"/>
    <n v="5.085"/>
    <n v="42.125999999999998"/>
    <n v="303"/>
  </r>
  <r>
    <x v="257"/>
    <n v="5"/>
    <s v="Unlock"/>
    <x v="28"/>
    <n v="7.32"/>
    <n v="5.76"/>
    <n v="11"/>
    <n v="8.67"/>
    <n v="9.34"/>
    <n v="9.18"/>
    <n v="2.1"/>
    <s v="Moderate"/>
    <s v="Above Avg."/>
    <x v="1"/>
    <n v="9.07"/>
    <n v="8.9250000000000007"/>
    <n v="5.72"/>
    <n v="50.78"/>
    <n v="279"/>
  </r>
  <r>
    <x v="258"/>
    <n v="4"/>
    <s v="Unlock"/>
    <x v="28"/>
    <n v="12.29"/>
    <n v="10.69"/>
    <n v="13.62"/>
    <n v="10.62"/>
    <n v="11.46"/>
    <n v="11.25"/>
    <n v="5.53"/>
    <s v="Moderately High"/>
    <s v="High"/>
    <x v="1"/>
    <n v="11.178000000000001"/>
    <n v="10.934999999999999"/>
    <n v="8.495000000000001"/>
    <n v="63.899000000000001"/>
    <n v="216"/>
  </r>
  <r>
    <x v="259"/>
    <n v="5"/>
    <s v="Unlock"/>
    <x v="28"/>
    <n v="3.8"/>
    <n v="1.42"/>
    <n v="7.8"/>
    <n v="5.72"/>
    <n v="7.48"/>
    <n v="6.84"/>
    <n v="5.28"/>
    <s v="Moderate"/>
    <s v="Below Avg."/>
    <x v="1"/>
    <n v="6.86"/>
    <n v="6.2799999999999994"/>
    <n v="6.3800000000000008"/>
    <n v="39.520000000000003"/>
    <n v="327"/>
  </r>
  <r>
    <x v="260"/>
    <n v="4"/>
    <s v="Unlock"/>
    <x v="28"/>
    <n v="6.5"/>
    <n v="4.74"/>
    <n v="10.74"/>
    <n v="7.65"/>
    <n v="10.039999999999999"/>
    <n v="9.17"/>
    <n v="1.8"/>
    <s v="Moderately High"/>
    <s v="High"/>
    <x v="1"/>
    <n v="9.3159999999999989"/>
    <n v="8.41"/>
    <n v="5.92"/>
    <n v="50.688000000000002"/>
    <n v="281"/>
  </r>
  <r>
    <x v="261"/>
    <n v="4"/>
    <s v="Unlock"/>
    <x v="28"/>
    <n v="3.81"/>
    <n v="2.31"/>
    <n v="9.5399999999999991"/>
    <n v="6.36"/>
    <n v="9.23"/>
    <n v="8.16"/>
    <n v="1.72"/>
    <s v="Moderately High"/>
    <s v="Above Avg."/>
    <x v="1"/>
    <n v="8.4310000000000009"/>
    <n v="7.26"/>
    <n v="5.4750000000000005"/>
    <n v="45.288000000000004"/>
    <n v="293"/>
  </r>
  <r>
    <x v="262"/>
    <n v="4"/>
    <s v="Unlock"/>
    <x v="29"/>
    <n v="5.78"/>
    <n v="5.82"/>
    <n v="6.87"/>
    <n v="6.55"/>
    <n v="5.89"/>
    <n v="6.44"/>
    <n v="1.81"/>
    <s v="Low"/>
    <s v="Above Avg."/>
    <x v="1"/>
    <n v="5.6929999999999996"/>
    <n v="6.4950000000000001"/>
    <n v="3.8499999999999996"/>
    <n v="33.919000000000004"/>
    <n v="436"/>
  </r>
  <r>
    <x v="263"/>
    <n v="4"/>
    <s v="Unlock"/>
    <x v="29"/>
    <n v="5.77"/>
    <n v="5.85"/>
    <n v="6.81"/>
    <n v="6.53"/>
    <n v="5.9"/>
    <n v="6.4"/>
    <n v="2.5099999999999998"/>
    <s v="Low"/>
    <s v="Avg."/>
    <x v="1"/>
    <n v="5.6740000000000004"/>
    <n v="6.4649999999999999"/>
    <n v="4.2050000000000001"/>
    <n v="34.157000000000004"/>
    <n v="416"/>
  </r>
  <r>
    <x v="264"/>
    <n v="4"/>
    <s v="Unlock"/>
    <x v="29"/>
    <n v="5.84"/>
    <n v="5.92"/>
    <n v="6.92"/>
    <n v="6.6"/>
    <n v="5.93"/>
    <n v="6.49"/>
    <n v="7.31"/>
    <s v="Low"/>
    <s v="Above Avg."/>
    <x v="1"/>
    <n v="5.7330000000000005"/>
    <n v="6.5449999999999999"/>
    <n v="6.6199999999999992"/>
    <n v="36.908999999999999"/>
    <n v="343"/>
  </r>
  <r>
    <x v="265"/>
    <n v="4"/>
    <s v="Unlock"/>
    <x v="29"/>
    <n v="5.84"/>
    <n v="5.91"/>
    <n v="6.92"/>
    <n v="6.61"/>
    <n v="5.97"/>
    <n v="6.5"/>
    <n v="4.6500000000000004"/>
    <s v="Low"/>
    <s v="Above Avg."/>
    <x v="1"/>
    <n v="5.7530000000000001"/>
    <n v="6.5549999999999997"/>
    <n v="5.3100000000000005"/>
    <n v="35.679000000000002"/>
    <n v="369"/>
  </r>
  <r>
    <x v="266"/>
    <n v="5"/>
    <s v="Unlock"/>
    <x v="29"/>
    <n v="5.9"/>
    <n v="5.95"/>
    <n v="6.96"/>
    <n v="6.62"/>
    <n v="6.15"/>
    <n v="6.62"/>
    <n v="3.97"/>
    <s v="Low"/>
    <s v="Above Avg."/>
    <x v="1"/>
    <n v="5.859"/>
    <n v="6.62"/>
    <n v="5.0600000000000005"/>
    <n v="35.877000000000002"/>
    <n v="357"/>
  </r>
  <r>
    <x v="267"/>
    <n v="4"/>
    <s v="Unlock"/>
    <x v="29"/>
    <n v="5.85"/>
    <n v="5.94"/>
    <n v="7.06"/>
    <n v="6.69"/>
    <n v="6.14"/>
    <n v="6.64"/>
    <n v="3.34"/>
    <s v="Low"/>
    <s v="High"/>
    <x v="1"/>
    <n v="5.8940000000000001"/>
    <n v="6.665"/>
    <n v="4.74"/>
    <n v="35.752000000000002"/>
    <n v="361"/>
  </r>
  <r>
    <x v="268"/>
    <n v="5"/>
    <s v="Unlock"/>
    <x v="29"/>
    <n v="5.95"/>
    <n v="5.93"/>
    <n v="6.99"/>
    <n v="6.63"/>
    <n v="6.15"/>
    <n v="6.61"/>
    <n v="2.3199999999999998"/>
    <s v="Low"/>
    <s v="High"/>
    <x v="1"/>
    <n v="5.8710000000000004"/>
    <n v="6.62"/>
    <n v="4.2350000000000003"/>
    <n v="35.088000000000001"/>
    <n v="391"/>
  </r>
  <r>
    <x v="269"/>
    <n v="4"/>
    <s v="Unlock"/>
    <x v="29"/>
    <n v="5.84"/>
    <n v="5.89"/>
    <n v="6.85"/>
    <n v="6.56"/>
    <n v="5.86"/>
    <n v="6.43"/>
    <n v="1.91"/>
    <s v="Low"/>
    <s v="Avg."/>
    <x v="1"/>
    <n v="5.67"/>
    <n v="6.4949999999999992"/>
    <n v="3.8850000000000002"/>
    <n v="33.884999999999998"/>
    <n v="438"/>
  </r>
  <r>
    <x v="270"/>
    <n v="4"/>
    <s v="Unlock"/>
    <x v="29"/>
    <n v="5.89"/>
    <n v="5.93"/>
    <n v="7"/>
    <n v="6.68"/>
    <n v="5.98"/>
    <n v="6.54"/>
    <n v="2.38"/>
    <s v="Low"/>
    <s v="Above Avg."/>
    <x v="1"/>
    <n v="5.7900000000000009"/>
    <n v="6.6099999999999994"/>
    <n v="4.18"/>
    <n v="34.770000000000003"/>
    <n v="403"/>
  </r>
  <r>
    <x v="271"/>
    <n v="4"/>
    <s v="Unlock"/>
    <x v="30"/>
    <n v="5.18"/>
    <n v="3.19"/>
    <n v="12.25"/>
    <n v="8.42"/>
    <n v="10.36"/>
    <n v="9.7899999999999991"/>
    <n v="1.76"/>
    <s v="Very High"/>
    <s v="Above Avg."/>
    <x v="1"/>
    <n v="10.08"/>
    <n v="9.1050000000000004"/>
    <n v="6.06"/>
    <n v="54.510000000000005"/>
    <n v="271"/>
  </r>
  <r>
    <x v="272"/>
    <n v="4"/>
    <s v="Unlock"/>
    <x v="30"/>
    <n v="2.09"/>
    <n v="-0.09"/>
    <n v="13.22"/>
    <n v="7.52"/>
    <n v="10.67"/>
    <n v="9.59"/>
    <n v="1.93"/>
    <s v="Very High"/>
    <s v="Above Avg."/>
    <x v="1"/>
    <n v="10.623000000000001"/>
    <n v="8.5549999999999997"/>
    <n v="6.3"/>
    <n v="55.278999999999996"/>
    <n v="266"/>
  </r>
  <r>
    <x v="273"/>
    <n v="4"/>
    <s v="Unlock"/>
    <x v="30"/>
    <n v="4.2699999999999996"/>
    <n v="1.9"/>
    <n v="11.58"/>
    <n v="7.54"/>
    <n v="8.5299999999999994"/>
    <n v="8.65"/>
    <n v="1.93"/>
    <s v="Moderately High"/>
    <s v="Avg."/>
    <x v="1"/>
    <n v="8.8970000000000002"/>
    <n v="8.0950000000000006"/>
    <n v="5.2299999999999995"/>
    <n v="48.110999999999997"/>
    <n v="285"/>
  </r>
  <r>
    <x v="274"/>
    <n v="4"/>
    <s v="Unlock"/>
    <x v="30"/>
    <n v="1.02"/>
    <n v="-1.96"/>
    <n v="11.51"/>
    <n v="5.6"/>
    <m/>
    <m/>
    <n v="2.14"/>
    <s v="Very High"/>
    <s v="Avg."/>
    <x v="1"/>
    <n v="4.6040000000000001"/>
    <n v="2.8"/>
    <n v="1.07"/>
    <n v="20.481999999999999"/>
    <n v="577"/>
  </r>
  <r>
    <x v="275"/>
    <n v="5"/>
    <s v="Unlock"/>
    <x v="30"/>
    <n v="1.21"/>
    <n v="-1.56"/>
    <n v="11.76"/>
    <n v="5.71"/>
    <n v="13.24"/>
    <n v="9.25"/>
    <n v="1.99"/>
    <s v="High"/>
    <s v="High"/>
    <x v="1"/>
    <n v="11.324"/>
    <n v="7.48"/>
    <n v="7.6150000000000002"/>
    <n v="56.547000000000004"/>
    <n v="252"/>
  </r>
  <r>
    <x v="276"/>
    <n v="5"/>
    <s v="Unlock"/>
    <x v="30"/>
    <n v="2.52"/>
    <n v="-1.1299999999999999"/>
    <n v="15.39"/>
    <n v="7.48"/>
    <n v="17.03"/>
    <n v="13.08"/>
    <n v="1.27"/>
    <s v="Very High"/>
    <s v="High"/>
    <x v="1"/>
    <n v="14.671000000000001"/>
    <n v="10.280000000000001"/>
    <n v="9.15"/>
    <n v="73.723000000000013"/>
    <n v="172"/>
  </r>
  <r>
    <x v="277"/>
    <n v="4"/>
    <s v="Unlock"/>
    <x v="30"/>
    <n v="5.82"/>
    <n v="2.13"/>
    <n v="12.19"/>
    <n v="8.4499999999999993"/>
    <n v="11.2"/>
    <n v="10.19"/>
    <n v="2.19"/>
    <s v="Very High"/>
    <s v="Above Avg."/>
    <x v="1"/>
    <n v="10.475999999999999"/>
    <n v="9.32"/>
    <n v="6.6949999999999994"/>
    <n v="56.762999999999998"/>
    <n v="248"/>
  </r>
  <r>
    <x v="278"/>
    <n v="4"/>
    <s v="Unlock"/>
    <x v="30"/>
    <n v="5.2"/>
    <n v="2.42"/>
    <n v="11.46"/>
    <n v="7.27"/>
    <m/>
    <m/>
    <n v="2.06"/>
    <s v="Very High"/>
    <s v="Avg."/>
    <x v="1"/>
    <n v="4.5840000000000005"/>
    <n v="3.6349999999999998"/>
    <n v="1.03"/>
    <n v="22.052000000000003"/>
    <n v="572"/>
  </r>
  <r>
    <x v="279"/>
    <n v="4"/>
    <s v="Unlock"/>
    <x v="30"/>
    <n v="3.58"/>
    <n v="1.38"/>
    <n v="11.73"/>
    <n v="6.97"/>
    <n v="10.27"/>
    <n v="8.99"/>
    <n v="2.37"/>
    <s v="Very High"/>
    <s v="Avg."/>
    <x v="1"/>
    <n v="9.827"/>
    <n v="7.98"/>
    <n v="6.32"/>
    <n v="51.761000000000003"/>
    <n v="277"/>
  </r>
  <r>
    <x v="280"/>
    <n v="4"/>
    <s v="Unlock"/>
    <x v="30"/>
    <n v="1.19"/>
    <n v="-1.41"/>
    <n v="16.760000000000002"/>
    <n v="6.67"/>
    <m/>
    <m/>
    <n v="2.5"/>
    <s v="Very High"/>
    <s v="High"/>
    <x v="1"/>
    <n v="6.7040000000000006"/>
    <n v="3.335"/>
    <n v="1.25"/>
    <n v="28.032000000000004"/>
    <n v="556"/>
  </r>
  <r>
    <x v="281"/>
    <n v="5"/>
    <s v="Unlock"/>
    <x v="30"/>
    <n v="4.83"/>
    <n v="2.75"/>
    <n v="12.29"/>
    <n v="7.89"/>
    <m/>
    <m/>
    <n v="1.53"/>
    <s v="Very High"/>
    <s v="Above Avg."/>
    <x v="1"/>
    <n v="4.9160000000000004"/>
    <n v="3.9449999999999998"/>
    <n v="0.76500000000000001"/>
    <n v="23.403000000000002"/>
    <n v="570"/>
  </r>
  <r>
    <x v="282"/>
    <n v="4"/>
    <s v="Unlock"/>
    <x v="31"/>
    <n v="6.76"/>
    <n v="3.26"/>
    <n v="14.49"/>
    <n v="10.3"/>
    <m/>
    <m/>
    <n v="1.1599999999999999"/>
    <s v="High"/>
    <s v="Below Avg."/>
    <x v="1"/>
    <n v="5.7960000000000003"/>
    <n v="5.15"/>
    <n v="0.57999999999999996"/>
    <n v="28.268000000000001"/>
    <n v="548"/>
  </r>
  <r>
    <x v="283"/>
    <n v="5"/>
    <s v="Unlock"/>
    <x v="31"/>
    <n v="9.1"/>
    <n v="5.29"/>
    <n v="17.68"/>
    <n v="12.53"/>
    <n v="18.850000000000001"/>
    <n v="15.66"/>
    <n v="2.37"/>
    <s v="Very High"/>
    <s v="Above Avg."/>
    <x v="1"/>
    <n v="16.497"/>
    <n v="14.094999999999999"/>
    <n v="10.610000000000001"/>
    <n v="88.290999999999997"/>
    <n v="87"/>
  </r>
  <r>
    <x v="284"/>
    <n v="4"/>
    <s v="Unlock"/>
    <x v="31"/>
    <n v="18.78"/>
    <n v="14.36"/>
    <n v="20.37"/>
    <n v="17.03"/>
    <n v="16.13"/>
    <n v="16.809999999999999"/>
    <n v="1.34"/>
    <s v="Very High"/>
    <s v="Above Avg."/>
    <x v="1"/>
    <n v="16.213000000000001"/>
    <n v="16.920000000000002"/>
    <n v="8.7349999999999994"/>
    <n v="91.214000000000013"/>
    <n v="79"/>
  </r>
  <r>
    <x v="285"/>
    <n v="4"/>
    <s v="Unlock"/>
    <x v="31"/>
    <n v="13.12"/>
    <n v="10.08"/>
    <n v="19.52"/>
    <n v="14.58"/>
    <n v="17.059999999999999"/>
    <n v="16.25"/>
    <n v="1.07"/>
    <s v="Very High"/>
    <s v="Above Avg."/>
    <x v="1"/>
    <n v="16.338000000000001"/>
    <n v="15.414999999999999"/>
    <n v="9.0649999999999995"/>
    <n v="88.908999999999992"/>
    <n v="85"/>
  </r>
  <r>
    <x v="286"/>
    <n v="5"/>
    <s v="Unlock"/>
    <x v="31"/>
    <n v="20.86"/>
    <n v="17.73"/>
    <n v="22.37"/>
    <n v="18.37"/>
    <n v="21.48"/>
    <n v="19.28"/>
    <n v="2.57"/>
    <s v="High"/>
    <s v="High"/>
    <x v="1"/>
    <n v="19.688000000000002"/>
    <n v="18.825000000000003"/>
    <n v="12.025"/>
    <n v="108.73900000000002"/>
    <n v="37"/>
  </r>
  <r>
    <x v="287"/>
    <n v="4"/>
    <s v="Unlock"/>
    <x v="31"/>
    <n v="16.78"/>
    <n v="13.15"/>
    <n v="17.75"/>
    <n v="14.58"/>
    <n v="14.55"/>
    <n v="14.92"/>
    <n v="1.84"/>
    <s v="Very High"/>
    <s v="Above Avg."/>
    <x v="1"/>
    <n v="14.375"/>
    <n v="14.75"/>
    <n v="8.1950000000000003"/>
    <n v="80.819999999999993"/>
    <n v="126"/>
  </r>
  <r>
    <x v="288"/>
    <n v="4"/>
    <s v="Unlock"/>
    <x v="32"/>
    <n v="55.7"/>
    <n v="54.17"/>
    <n v="33.520000000000003"/>
    <n v="44.04"/>
    <n v="24.54"/>
    <n v="32.729999999999997"/>
    <n v="0.48"/>
    <s v="Very High"/>
    <s v="Below Avg."/>
    <x v="1"/>
    <n v="25.678000000000001"/>
    <n v="38.384999999999998"/>
    <n v="12.51"/>
    <n v="166.31399999999999"/>
    <n v="5"/>
  </r>
  <r>
    <x v="289"/>
    <n v="4"/>
    <s v="Unlock"/>
    <x v="32"/>
    <n v="56"/>
    <n v="53.89"/>
    <n v="33.71"/>
    <n v="44.49"/>
    <n v="24.7"/>
    <n v="32.950000000000003"/>
    <n v="0.51"/>
    <s v="High"/>
    <s v="Avg."/>
    <x v="1"/>
    <n v="25.834000000000003"/>
    <n v="38.72"/>
    <n v="12.605"/>
    <n v="167.547"/>
    <n v="3"/>
  </r>
  <r>
    <x v="290"/>
    <n v="4"/>
    <s v="Unlock"/>
    <x v="32"/>
    <n v="56.08"/>
    <n v="54.16"/>
    <n v="33.76"/>
    <n v="44.55"/>
    <n v="24.72"/>
    <n v="33.01"/>
    <n v="0.42"/>
    <s v="High"/>
    <s v="Avg."/>
    <x v="1"/>
    <n v="25.863999999999997"/>
    <n v="38.78"/>
    <n v="12.57"/>
    <n v="167.72199999999998"/>
    <n v="1"/>
  </r>
  <r>
    <x v="291"/>
    <n v="4"/>
    <s v="Unlock"/>
    <x v="32"/>
    <n v="53.31"/>
    <n v="51.94"/>
    <m/>
    <m/>
    <m/>
    <m/>
    <n v="0.68"/>
    <s v="High"/>
    <s v="Below Avg."/>
    <x v="1"/>
    <n v="0"/>
    <n v="0"/>
    <n v="0.34"/>
    <n v="0.34"/>
    <n v="583"/>
  </r>
  <r>
    <x v="292"/>
    <n v="4"/>
    <s v="Unlock"/>
    <x v="32"/>
    <n v="55.76"/>
    <n v="54.35"/>
    <n v="33.82"/>
    <n v="44.66"/>
    <m/>
    <m/>
    <n v="0.53"/>
    <s v="High"/>
    <s v="Avg."/>
    <x v="1"/>
    <n v="13.528"/>
    <n v="22.33"/>
    <n v="0.26500000000000001"/>
    <n v="85.509"/>
    <n v="1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8">
  <location ref="A1:B12" firstHeaderRow="1" firstDataRow="1" firstDataCol="1"/>
  <pivotFields count="19">
    <pivotField axis="axisRow" showAll="0" measureFilter="1">
      <items count="294">
        <item x="197"/>
        <item x="262"/>
        <item x="271"/>
        <item x="38"/>
        <item x="220"/>
        <item x="0"/>
        <item x="165"/>
        <item x="178"/>
        <item x="1"/>
        <item x="2"/>
        <item x="246"/>
        <item x="157"/>
        <item x="263"/>
        <item x="272"/>
        <item x="214"/>
        <item x="202"/>
        <item x="198"/>
        <item x="223"/>
        <item x="288"/>
        <item x="166"/>
        <item x="179"/>
        <item x="64"/>
        <item x="83"/>
        <item x="186"/>
        <item x="141"/>
        <item x="84"/>
        <item x="150"/>
        <item x="95"/>
        <item x="187"/>
        <item x="231"/>
        <item x="215"/>
        <item x="203"/>
        <item x="104"/>
        <item x="29"/>
        <item x="3"/>
        <item x="151"/>
        <item x="180"/>
        <item x="142"/>
        <item x="85"/>
        <item x="158"/>
        <item x="96"/>
        <item x="247"/>
        <item x="39"/>
        <item x="167"/>
        <item x="130"/>
        <item x="232"/>
        <item x="65"/>
        <item x="188"/>
        <item x="204"/>
        <item x="210"/>
        <item x="105"/>
        <item x="224"/>
        <item x="125"/>
        <item x="4"/>
        <item x="189"/>
        <item x="159"/>
        <item x="40"/>
        <item x="131"/>
        <item x="5"/>
        <item x="152"/>
        <item x="140"/>
        <item x="205"/>
        <item x="273"/>
        <item x="106"/>
        <item x="256"/>
        <item x="132"/>
        <item x="30"/>
        <item x="6"/>
        <item x="168"/>
        <item x="7"/>
        <item x="8"/>
        <item x="248"/>
        <item x="97"/>
        <item x="233"/>
        <item x="143"/>
        <item x="257"/>
        <item x="41"/>
        <item x="42"/>
        <item x="9"/>
        <item x="169"/>
        <item x="71"/>
        <item x="86"/>
        <item x="133"/>
        <item x="274"/>
        <item x="216"/>
        <item x="206"/>
        <item x="275"/>
        <item x="107"/>
        <item x="43"/>
        <item x="44"/>
        <item x="225"/>
        <item x="170"/>
        <item x="190"/>
        <item x="171"/>
        <item x="264"/>
        <item x="276"/>
        <item x="234"/>
        <item x="108"/>
        <item x="45"/>
        <item x="221"/>
        <item x="46"/>
        <item x="226"/>
        <item x="249"/>
        <item x="134"/>
        <item x="31"/>
        <item x="10"/>
        <item x="72"/>
        <item x="181"/>
        <item x="282"/>
        <item x="11"/>
        <item x="12"/>
        <item x="47"/>
        <item x="235"/>
        <item x="144"/>
        <item x="87"/>
        <item x="109"/>
        <item x="258"/>
        <item x="48"/>
        <item x="66"/>
        <item x="145"/>
        <item x="160"/>
        <item x="98"/>
        <item x="277"/>
        <item x="217"/>
        <item x="13"/>
        <item x="126"/>
        <item x="137"/>
        <item x="236"/>
        <item x="207"/>
        <item x="211"/>
        <item x="49"/>
        <item x="237"/>
        <item x="265"/>
        <item x="259"/>
        <item x="50"/>
        <item x="51"/>
        <item x="227"/>
        <item x="135"/>
        <item x="32"/>
        <item x="14"/>
        <item x="73"/>
        <item x="182"/>
        <item x="283"/>
        <item x="67"/>
        <item x="15"/>
        <item x="16"/>
        <item x="191"/>
        <item x="122"/>
        <item x="250"/>
        <item x="238"/>
        <item x="251"/>
        <item x="52"/>
        <item x="153"/>
        <item x="146"/>
        <item x="161"/>
        <item x="99"/>
        <item x="266"/>
        <item x="212"/>
        <item x="117"/>
        <item x="53"/>
        <item x="54"/>
        <item x="33"/>
        <item x="17"/>
        <item x="172"/>
        <item x="154"/>
        <item x="74"/>
        <item x="192"/>
        <item x="88"/>
        <item x="162"/>
        <item x="55"/>
        <item x="75"/>
        <item x="89"/>
        <item x="239"/>
        <item x="199"/>
        <item x="110"/>
        <item x="56"/>
        <item x="138"/>
        <item x="76"/>
        <item x="240"/>
        <item x="267"/>
        <item x="100"/>
        <item x="208"/>
        <item x="260"/>
        <item x="222"/>
        <item x="57"/>
        <item x="18"/>
        <item x="77"/>
        <item x="183"/>
        <item x="68"/>
        <item x="19"/>
        <item x="90"/>
        <item x="193"/>
        <item x="136"/>
        <item x="139"/>
        <item x="241"/>
        <item x="58"/>
        <item x="173"/>
        <item x="78"/>
        <item x="69"/>
        <item x="91"/>
        <item x="278"/>
        <item x="20"/>
        <item x="200"/>
        <item x="127"/>
        <item x="174"/>
        <item x="194"/>
        <item x="163"/>
        <item x="228"/>
        <item x="101"/>
        <item x="118"/>
        <item x="111"/>
        <item x="34"/>
        <item x="79"/>
        <item x="21"/>
        <item x="242"/>
        <item x="279"/>
        <item x="119"/>
        <item x="252"/>
        <item x="128"/>
        <item x="209"/>
        <item x="213"/>
        <item x="201"/>
        <item x="112"/>
        <item x="80"/>
        <item x="22"/>
        <item x="285"/>
        <item x="284"/>
        <item x="70"/>
        <item x="23"/>
        <item x="59"/>
        <item x="147"/>
        <item x="92"/>
        <item x="102"/>
        <item x="35"/>
        <item x="253"/>
        <item x="113"/>
        <item x="60"/>
        <item x="175"/>
        <item x="195"/>
        <item x="280"/>
        <item x="286"/>
        <item x="93"/>
        <item x="114"/>
        <item x="289"/>
        <item x="268"/>
        <item x="281"/>
        <item x="120"/>
        <item x="243"/>
        <item x="254"/>
        <item x="255"/>
        <item x="103"/>
        <item x="115"/>
        <item x="244"/>
        <item x="61"/>
        <item x="229"/>
        <item x="290"/>
        <item x="123"/>
        <item x="36"/>
        <item x="24"/>
        <item x="287"/>
        <item x="25"/>
        <item x="148"/>
        <item x="164"/>
        <item x="218"/>
        <item x="121"/>
        <item x="81"/>
        <item x="26"/>
        <item x="149"/>
        <item x="94"/>
        <item x="269"/>
        <item x="291"/>
        <item x="129"/>
        <item x="27"/>
        <item x="176"/>
        <item x="184"/>
        <item x="155"/>
        <item x="177"/>
        <item x="62"/>
        <item x="245"/>
        <item x="270"/>
        <item x="219"/>
        <item x="261"/>
        <item x="230"/>
        <item x="292"/>
        <item x="124"/>
        <item x="37"/>
        <item x="156"/>
        <item x="185"/>
        <item x="196"/>
        <item x="116"/>
        <item x="63"/>
        <item x="28"/>
        <item x="82"/>
        <item t="default"/>
      </items>
    </pivotField>
    <pivotField showAll="0"/>
    <pivotField showAll="0"/>
    <pivotField showAll="0">
      <items count="34">
        <item x="32"/>
        <item x="23"/>
        <item x="21"/>
        <item x="22"/>
        <item x="20"/>
        <item x="24"/>
        <item x="25"/>
        <item x="17"/>
        <item x="15"/>
        <item x="13"/>
        <item x="12"/>
        <item x="18"/>
        <item x="19"/>
        <item x="14"/>
        <item x="16"/>
        <item x="7"/>
        <item x="2"/>
        <item x="1"/>
        <item x="0"/>
        <item x="4"/>
        <item x="3"/>
        <item x="8"/>
        <item x="9"/>
        <item x="5"/>
        <item x="10"/>
        <item x="11"/>
        <item x="6"/>
        <item x="26"/>
        <item x="29"/>
        <item x="27"/>
        <item x="30"/>
        <item x="28"/>
        <item x="31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numFmtId="164" showAll="0"/>
    <pivotField showAll="0"/>
    <pivotField showAll="0"/>
    <pivotField showAll="0" measureFilter="1">
      <items count="3">
        <item x="0"/>
        <item x="1"/>
        <item t="default"/>
      </items>
    </pivotField>
    <pivotField showAll="0"/>
    <pivotField showAll="0"/>
    <pivotField showAll="0"/>
    <pivotField numFmtId="2" showAll="0"/>
    <pivotField dataField="1" numFmtId="1" showAll="0"/>
  </pivotFields>
  <rowFields count="1">
    <field x="0"/>
  </rowFields>
  <rowItems count="11">
    <i>
      <x v="28"/>
    </i>
    <i>
      <x v="56"/>
    </i>
    <i>
      <x v="74"/>
    </i>
    <i>
      <x v="83"/>
    </i>
    <i>
      <x v="200"/>
    </i>
    <i>
      <x v="207"/>
    </i>
    <i>
      <x v="234"/>
    </i>
    <i>
      <x v="245"/>
    </i>
    <i>
      <x v="270"/>
    </i>
    <i>
      <x v="291"/>
    </i>
    <i t="grand">
      <x/>
    </i>
  </rowItems>
  <colItems count="1">
    <i/>
  </colItems>
  <dataFields count="1">
    <dataField name="Average of Rank" fld="18" subtotal="average" baseField="0" baseItem="0"/>
  </dataFields>
  <chartFormats count="1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filters count="2">
    <filter fld="13" type="count" evalOrder="-1" id="3" iMeasureFld="0">
      <autoFilter ref="A1">
        <filterColumn colId="0">
          <top10 val="10" filterVal="10"/>
        </filterColumn>
      </autoFilter>
    </filter>
    <filter fld="0" type="count" evalOrder="-1" id="4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33"/>
  <sheetViews>
    <sheetView topLeftCell="A4" workbookViewId="0">
      <selection activeCell="F33" sqref="F33"/>
    </sheetView>
  </sheetViews>
  <sheetFormatPr defaultRowHeight="15" x14ac:dyDescent="0.25"/>
  <cols>
    <col min="2" max="2" width="10.85546875" customWidth="1"/>
    <col min="3" max="3" width="11.140625" customWidth="1"/>
    <col min="4" max="4" width="21.85546875" customWidth="1"/>
    <col min="5" max="5" width="14.140625" customWidth="1"/>
    <col min="6" max="6" width="11.28515625" customWidth="1"/>
    <col min="7" max="7" width="36" customWidth="1"/>
    <col min="8" max="8" width="27.5703125" customWidth="1"/>
    <col min="9" max="9" width="19.140625" customWidth="1"/>
    <col min="10" max="10" width="16.85546875" customWidth="1"/>
    <col min="11" max="11" width="24.7109375" customWidth="1"/>
    <col min="13" max="13" width="19.140625" customWidth="1"/>
    <col min="14" max="14" width="31.140625" customWidth="1"/>
  </cols>
  <sheetData>
    <row r="3" spans="1:16" ht="28.5" x14ac:dyDescent="0.45">
      <c r="E3" s="32"/>
      <c r="F3" s="32"/>
      <c r="G3" s="32"/>
      <c r="H3" s="33" t="s">
        <v>373</v>
      </c>
      <c r="I3" s="32"/>
      <c r="J3" s="32"/>
      <c r="K3" s="32"/>
    </row>
    <row r="7" spans="1:16" x14ac:dyDescent="0.25">
      <c r="A7" s="39" t="s">
        <v>377</v>
      </c>
      <c r="C7" s="6"/>
      <c r="D7" s="34" t="s">
        <v>351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x14ac:dyDescent="0.25">
      <c r="B8" s="25" t="s">
        <v>367</v>
      </c>
      <c r="C8" s="6"/>
      <c r="D8" s="7" t="s">
        <v>358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x14ac:dyDescent="0.25">
      <c r="B9" s="25" t="s">
        <v>368</v>
      </c>
      <c r="C9" s="6"/>
      <c r="D9" s="7" t="s">
        <v>352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x14ac:dyDescent="0.25">
      <c r="B10" s="25" t="s">
        <v>369</v>
      </c>
      <c r="C10" s="6"/>
      <c r="D10" s="8" t="s">
        <v>28</v>
      </c>
      <c r="E10" s="6"/>
      <c r="F10" s="6"/>
      <c r="G10" s="40" t="s">
        <v>353</v>
      </c>
      <c r="H10" s="40"/>
      <c r="I10" s="6"/>
      <c r="J10" s="40" t="s">
        <v>354</v>
      </c>
      <c r="K10" s="40"/>
      <c r="L10" s="6"/>
      <c r="M10" s="40" t="s">
        <v>355</v>
      </c>
      <c r="N10" s="40"/>
      <c r="O10" s="6"/>
      <c r="P10" s="6"/>
    </row>
    <row r="11" spans="1:16" x14ac:dyDescent="0.25">
      <c r="C11" s="6"/>
      <c r="D11" s="9"/>
      <c r="E11" s="6"/>
      <c r="F11" s="6"/>
      <c r="G11" s="10" t="s">
        <v>356</v>
      </c>
      <c r="H11" s="10" t="s">
        <v>357</v>
      </c>
      <c r="I11" s="6"/>
      <c r="J11" s="10" t="s">
        <v>354</v>
      </c>
      <c r="K11" s="10" t="s">
        <v>357</v>
      </c>
      <c r="L11" s="6"/>
      <c r="M11" s="10" t="s">
        <v>366</v>
      </c>
      <c r="N11" s="10" t="s">
        <v>357</v>
      </c>
      <c r="O11" s="6"/>
      <c r="P11" s="6"/>
    </row>
    <row r="12" spans="1:16" x14ac:dyDescent="0.25">
      <c r="C12" s="6"/>
      <c r="D12" s="9"/>
      <c r="E12" s="6"/>
      <c r="F12" s="6"/>
      <c r="G12" s="11" t="s">
        <v>358</v>
      </c>
      <c r="H12" s="12">
        <v>3</v>
      </c>
      <c r="I12" s="6"/>
      <c r="J12" s="11" t="s">
        <v>229</v>
      </c>
      <c r="K12" s="12">
        <v>1</v>
      </c>
      <c r="L12" s="6"/>
      <c r="M12" s="11" t="s">
        <v>229</v>
      </c>
      <c r="N12" s="12">
        <v>3</v>
      </c>
      <c r="O12" s="6"/>
      <c r="P12" s="6"/>
    </row>
    <row r="13" spans="1:16" x14ac:dyDescent="0.25">
      <c r="C13" s="6"/>
      <c r="D13" s="9"/>
      <c r="E13" s="6"/>
      <c r="F13" s="6"/>
      <c r="G13" s="11" t="s">
        <v>171</v>
      </c>
      <c r="H13" s="12">
        <v>2</v>
      </c>
      <c r="I13" s="6"/>
      <c r="J13" s="11" t="s">
        <v>352</v>
      </c>
      <c r="K13" s="12">
        <v>2</v>
      </c>
      <c r="L13" s="6"/>
      <c r="M13" s="11" t="s">
        <v>352</v>
      </c>
      <c r="N13" s="12">
        <v>2</v>
      </c>
      <c r="O13" s="6"/>
      <c r="P13" s="6"/>
    </row>
    <row r="14" spans="1:16" x14ac:dyDescent="0.25">
      <c r="C14" s="6"/>
      <c r="D14" s="9"/>
      <c r="E14" s="6"/>
      <c r="F14" s="6"/>
      <c r="G14" s="11" t="s">
        <v>359</v>
      </c>
      <c r="H14" s="12">
        <v>1</v>
      </c>
      <c r="I14" s="6"/>
      <c r="J14" s="11" t="s">
        <v>28</v>
      </c>
      <c r="K14" s="12">
        <v>3</v>
      </c>
      <c r="L14" s="6"/>
      <c r="M14" s="11" t="s">
        <v>28</v>
      </c>
      <c r="N14" s="12">
        <v>1</v>
      </c>
      <c r="O14" s="6"/>
      <c r="P14" s="6"/>
    </row>
    <row r="15" spans="1:16" x14ac:dyDescent="0.25">
      <c r="C15" s="6"/>
      <c r="D15" s="9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 x14ac:dyDescent="0.25"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 x14ac:dyDescent="0.25"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x14ac:dyDescent="0.25"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x14ac:dyDescent="0.25">
      <c r="A19" s="25" t="s">
        <v>378</v>
      </c>
      <c r="C19" s="6"/>
      <c r="D19" s="36" t="s">
        <v>370</v>
      </c>
      <c r="E19" s="6"/>
      <c r="F19" s="6"/>
      <c r="G19" s="13">
        <f>VLOOKUP(D8,G12:H14,2,FALSE)</f>
        <v>3</v>
      </c>
      <c r="H19" s="13"/>
      <c r="I19" s="13"/>
      <c r="J19" s="13">
        <f>VLOOKUP(D9,J12:K14,2,FALSE)</f>
        <v>2</v>
      </c>
      <c r="K19" s="13"/>
      <c r="L19" s="13"/>
      <c r="M19" s="13"/>
      <c r="N19" s="13">
        <f>VLOOKUP(D10,M12:N14,2,FALSE)</f>
        <v>1</v>
      </c>
      <c r="O19" s="6"/>
      <c r="P19" s="6"/>
    </row>
    <row r="20" spans="1:16" x14ac:dyDescent="0.25"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 x14ac:dyDescent="0.25"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x14ac:dyDescent="0.25"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 x14ac:dyDescent="0.25">
      <c r="D23" s="37" t="s">
        <v>371</v>
      </c>
      <c r="G23" s="14">
        <f>SIP_Input+Return_Input+Cost_Input</f>
        <v>6</v>
      </c>
    </row>
    <row r="24" spans="1:16" x14ac:dyDescent="0.25">
      <c r="D24" s="35"/>
    </row>
    <row r="25" spans="1:16" x14ac:dyDescent="0.25">
      <c r="D25" s="35"/>
    </row>
    <row r="26" spans="1:16" x14ac:dyDescent="0.25">
      <c r="D26" s="35"/>
    </row>
    <row r="27" spans="1:16" x14ac:dyDescent="0.25">
      <c r="D27" s="38" t="s">
        <v>372</v>
      </c>
      <c r="G27" s="15">
        <f>SIP_Input/Input</f>
        <v>0.5</v>
      </c>
      <c r="H27" s="15"/>
      <c r="I27" s="15"/>
      <c r="J27" s="15">
        <f>Return_Input/Input</f>
        <v>0.33333333333333331</v>
      </c>
      <c r="K27" s="15"/>
      <c r="L27" s="15"/>
      <c r="M27" s="15"/>
      <c r="N27" s="15">
        <f>Cost_Input/Input</f>
        <v>0.16666666666666666</v>
      </c>
    </row>
    <row r="29" spans="1:16" x14ac:dyDescent="0.25">
      <c r="A29" s="25" t="s">
        <v>381</v>
      </c>
    </row>
    <row r="30" spans="1:16" x14ac:dyDescent="0.25">
      <c r="C30" s="32"/>
    </row>
    <row r="31" spans="1:16" x14ac:dyDescent="0.25">
      <c r="B31" t="s">
        <v>379</v>
      </c>
    </row>
    <row r="33" spans="2:2" x14ac:dyDescent="0.25">
      <c r="B33" t="s">
        <v>380</v>
      </c>
    </row>
  </sheetData>
  <mergeCells count="3">
    <mergeCell ref="G10:H10"/>
    <mergeCell ref="J10:K10"/>
    <mergeCell ref="M10:N10"/>
  </mergeCells>
  <dataValidations count="2">
    <dataValidation type="list" allowBlank="1" showInputMessage="1" showErrorMessage="1" sqref="D8">
      <formula1>"Conservative, Moderate, Aggressive"</formula1>
    </dataValidation>
    <dataValidation type="list" allowBlank="1" showInputMessage="1" showErrorMessage="1" sqref="D9:D15">
      <formula1>"Low, Medium, High"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6:U592"/>
  <sheetViews>
    <sheetView topLeftCell="B1" workbookViewId="0">
      <selection activeCell="E341" sqref="E341"/>
    </sheetView>
  </sheetViews>
  <sheetFormatPr defaultRowHeight="15" x14ac:dyDescent="0.25"/>
  <cols>
    <col min="3" max="3" width="49.85546875" customWidth="1"/>
    <col min="4" max="4" width="14.85546875" customWidth="1"/>
    <col min="17" max="19" width="12.42578125" customWidth="1"/>
    <col min="20" max="20" width="12.42578125" style="24" customWidth="1"/>
    <col min="21" max="21" width="12.42578125" style="28" customWidth="1"/>
  </cols>
  <sheetData>
    <row r="6" spans="3:21" ht="21" x14ac:dyDescent="0.35">
      <c r="C6" s="1" t="s">
        <v>0</v>
      </c>
      <c r="D6" s="1" t="s">
        <v>1</v>
      </c>
      <c r="E6" s="1" t="s">
        <v>2</v>
      </c>
      <c r="F6" s="1" t="s">
        <v>3</v>
      </c>
      <c r="G6" s="1" t="s">
        <v>4</v>
      </c>
      <c r="H6" s="1" t="s">
        <v>5</v>
      </c>
      <c r="I6" s="1" t="s">
        <v>6</v>
      </c>
      <c r="J6" s="1" t="s">
        <v>7</v>
      </c>
      <c r="K6" s="1" t="s">
        <v>8</v>
      </c>
      <c r="L6" s="1" t="s">
        <v>360</v>
      </c>
      <c r="M6" s="1" t="s">
        <v>9</v>
      </c>
      <c r="N6" s="1" t="s">
        <v>10</v>
      </c>
      <c r="O6" s="1" t="s">
        <v>11</v>
      </c>
      <c r="P6" s="16" t="s">
        <v>12</v>
      </c>
      <c r="Q6" s="19" t="s">
        <v>361</v>
      </c>
      <c r="R6" s="19" t="s">
        <v>362</v>
      </c>
      <c r="S6" s="19" t="s">
        <v>363</v>
      </c>
      <c r="T6" s="22" t="s">
        <v>364</v>
      </c>
      <c r="U6" s="26" t="s">
        <v>365</v>
      </c>
    </row>
    <row r="7" spans="3:21" x14ac:dyDescent="0.25">
      <c r="C7" s="2" t="s">
        <v>13</v>
      </c>
      <c r="D7" s="2">
        <v>4</v>
      </c>
      <c r="E7" s="2" t="s">
        <v>14</v>
      </c>
      <c r="F7" s="2" t="s">
        <v>15</v>
      </c>
      <c r="G7" s="3">
        <v>-0.47</v>
      </c>
      <c r="H7" s="3">
        <v>-6.31</v>
      </c>
      <c r="I7" s="3">
        <v>13.07</v>
      </c>
      <c r="J7" s="3">
        <v>5.14</v>
      </c>
      <c r="K7" s="3">
        <v>12.5</v>
      </c>
      <c r="L7" s="21">
        <v>9.15</v>
      </c>
      <c r="M7" s="3">
        <v>1.58</v>
      </c>
      <c r="N7" s="2" t="s">
        <v>16</v>
      </c>
      <c r="O7" s="2" t="s">
        <v>17</v>
      </c>
      <c r="P7" s="17" t="s">
        <v>18</v>
      </c>
      <c r="Q7" s="5">
        <f>I7*0.4+K7*0.5</f>
        <v>11.478000000000002</v>
      </c>
      <c r="R7" s="5">
        <f t="shared" ref="R7:R71" si="0">(L7+J7)/2</f>
        <v>7.1449999999999996</v>
      </c>
      <c r="S7" s="5">
        <f>(M7+K7)/2</f>
        <v>7.04</v>
      </c>
      <c r="T7" s="23">
        <f>('Investor-Inputs'!$G$19 * Q7) + ('Investor-Inputs'!$J$19 * R7) + ('Investor-Inputs'!$N$19 * S7)</f>
        <v>55.764000000000003</v>
      </c>
      <c r="U7" s="27">
        <f>_xlfn.RANK.EQ(T7,$T$7:$T$592,0)</f>
        <v>256</v>
      </c>
    </row>
    <row r="8" spans="3:21" x14ac:dyDescent="0.25">
      <c r="C8" s="2" t="s">
        <v>19</v>
      </c>
      <c r="D8" s="2">
        <v>4</v>
      </c>
      <c r="E8" s="2" t="s">
        <v>14</v>
      </c>
      <c r="F8" s="2" t="s">
        <v>15</v>
      </c>
      <c r="G8" s="3">
        <v>6.69</v>
      </c>
      <c r="H8" s="3">
        <v>2.58</v>
      </c>
      <c r="I8" s="3">
        <v>15.81</v>
      </c>
      <c r="J8" s="3">
        <v>8.65</v>
      </c>
      <c r="K8" s="2"/>
      <c r="L8" s="20"/>
      <c r="M8" s="3">
        <v>1.1000000000000001</v>
      </c>
      <c r="N8" s="2" t="s">
        <v>16</v>
      </c>
      <c r="O8" s="2" t="s">
        <v>17</v>
      </c>
      <c r="P8" s="17" t="s">
        <v>18</v>
      </c>
      <c r="Q8" s="5">
        <f t="shared" ref="Q8:Q71" si="1">I8*0.4+K8*0.5</f>
        <v>6.3240000000000007</v>
      </c>
      <c r="R8" s="5">
        <f t="shared" si="0"/>
        <v>4.3250000000000002</v>
      </c>
      <c r="S8" s="5">
        <f t="shared" ref="S8:S71" si="2">(M8+K8)/2</f>
        <v>0.55000000000000004</v>
      </c>
      <c r="T8" s="23">
        <f>('Investor-Inputs'!$G$19 * Q8) + ('Investor-Inputs'!$J$19 * R8) + ('Investor-Inputs'!$N$19 * S8)</f>
        <v>28.172000000000001</v>
      </c>
      <c r="U8" s="27">
        <f t="shared" ref="U8:U71" si="3">_xlfn.RANK.EQ(T8,$T$7:$T$592,0)</f>
        <v>554</v>
      </c>
    </row>
    <row r="9" spans="3:21" x14ac:dyDescent="0.25">
      <c r="C9" s="2" t="s">
        <v>20</v>
      </c>
      <c r="D9" s="2">
        <v>4</v>
      </c>
      <c r="E9" s="2" t="s">
        <v>14</v>
      </c>
      <c r="F9" s="2" t="s">
        <v>15</v>
      </c>
      <c r="G9" s="3">
        <v>8.1199999999999992</v>
      </c>
      <c r="H9" s="3">
        <v>6.8</v>
      </c>
      <c r="I9" s="3">
        <v>20.350000000000001</v>
      </c>
      <c r="J9" s="3">
        <v>10.29</v>
      </c>
      <c r="K9" s="2"/>
      <c r="L9" s="20"/>
      <c r="M9" s="3">
        <v>0.89</v>
      </c>
      <c r="N9" s="2" t="s">
        <v>16</v>
      </c>
      <c r="O9" s="2" t="s">
        <v>17</v>
      </c>
      <c r="P9" s="17" t="s">
        <v>18</v>
      </c>
      <c r="Q9" s="5">
        <f t="shared" si="1"/>
        <v>8.14</v>
      </c>
      <c r="R9" s="5">
        <f t="shared" si="0"/>
        <v>5.1449999999999996</v>
      </c>
      <c r="S9" s="5">
        <f t="shared" si="2"/>
        <v>0.44500000000000001</v>
      </c>
      <c r="T9" s="23">
        <f>('Investor-Inputs'!$G$19 * Q9) + ('Investor-Inputs'!$J$19 * R9) + ('Investor-Inputs'!$N$19 * S9)</f>
        <v>35.155000000000001</v>
      </c>
      <c r="U9" s="27">
        <f t="shared" si="3"/>
        <v>389</v>
      </c>
    </row>
    <row r="10" spans="3:21" x14ac:dyDescent="0.25">
      <c r="C10" s="2" t="s">
        <v>21</v>
      </c>
      <c r="D10" s="2">
        <v>4</v>
      </c>
      <c r="E10" s="2" t="s">
        <v>14</v>
      </c>
      <c r="F10" s="2" t="s">
        <v>15</v>
      </c>
      <c r="G10" s="3">
        <v>2.79</v>
      </c>
      <c r="H10" s="3">
        <v>-2.89</v>
      </c>
      <c r="I10" s="3">
        <v>14.78</v>
      </c>
      <c r="J10" s="3">
        <v>7.14</v>
      </c>
      <c r="K10" s="3">
        <v>12.89</v>
      </c>
      <c r="L10" s="21">
        <v>10.4</v>
      </c>
      <c r="M10" s="3">
        <v>2.2400000000000002</v>
      </c>
      <c r="N10" s="2" t="s">
        <v>16</v>
      </c>
      <c r="O10" s="2" t="s">
        <v>17</v>
      </c>
      <c r="P10" s="17" t="s">
        <v>18</v>
      </c>
      <c r="Q10" s="5">
        <f t="shared" si="1"/>
        <v>12.356999999999999</v>
      </c>
      <c r="R10" s="5">
        <f t="shared" si="0"/>
        <v>8.77</v>
      </c>
      <c r="S10" s="5">
        <f t="shared" si="2"/>
        <v>7.5650000000000004</v>
      </c>
      <c r="T10" s="23">
        <f>('Investor-Inputs'!$G$19 * Q10) + ('Investor-Inputs'!$J$19 * R10) + ('Investor-Inputs'!$N$19 * S10)</f>
        <v>62.175999999999995</v>
      </c>
      <c r="U10" s="27">
        <f t="shared" si="3"/>
        <v>226</v>
      </c>
    </row>
    <row r="11" spans="3:21" x14ac:dyDescent="0.25">
      <c r="C11" s="2" t="s">
        <v>22</v>
      </c>
      <c r="D11" s="2">
        <v>4</v>
      </c>
      <c r="E11" s="2" t="s">
        <v>14</v>
      </c>
      <c r="F11" s="2" t="s">
        <v>15</v>
      </c>
      <c r="G11" s="3">
        <v>2.57</v>
      </c>
      <c r="H11" s="3">
        <v>-0.27</v>
      </c>
      <c r="I11" s="3">
        <v>14.44</v>
      </c>
      <c r="J11" s="3">
        <v>6.72</v>
      </c>
      <c r="K11" s="3">
        <v>13.07</v>
      </c>
      <c r="L11" s="21">
        <v>10.53</v>
      </c>
      <c r="M11" s="3">
        <v>2</v>
      </c>
      <c r="N11" s="2" t="s">
        <v>16</v>
      </c>
      <c r="O11" s="2" t="s">
        <v>17</v>
      </c>
      <c r="P11" s="17" t="s">
        <v>18</v>
      </c>
      <c r="Q11" s="5">
        <f t="shared" si="1"/>
        <v>12.311</v>
      </c>
      <c r="R11" s="5">
        <f t="shared" si="0"/>
        <v>8.625</v>
      </c>
      <c r="S11" s="5">
        <f t="shared" si="2"/>
        <v>7.5350000000000001</v>
      </c>
      <c r="T11" s="23">
        <f>('Investor-Inputs'!$G$19 * Q11) + ('Investor-Inputs'!$J$19 * R11) + ('Investor-Inputs'!$N$19 * S11)</f>
        <v>61.718000000000004</v>
      </c>
      <c r="U11" s="27">
        <f t="shared" si="3"/>
        <v>230</v>
      </c>
    </row>
    <row r="12" spans="3:21" x14ac:dyDescent="0.25">
      <c r="C12" s="2" t="s">
        <v>23</v>
      </c>
      <c r="D12" s="2">
        <v>4</v>
      </c>
      <c r="E12" s="2" t="s">
        <v>14</v>
      </c>
      <c r="F12" s="2" t="s">
        <v>15</v>
      </c>
      <c r="G12" s="3">
        <v>-1.43</v>
      </c>
      <c r="H12" s="3">
        <v>-6.93</v>
      </c>
      <c r="I12" s="3">
        <v>12.6</v>
      </c>
      <c r="J12" s="3">
        <v>4.99</v>
      </c>
      <c r="K12" s="3">
        <v>11.37</v>
      </c>
      <c r="L12" s="21">
        <v>8.7100000000000009</v>
      </c>
      <c r="M12" s="3">
        <v>1.75</v>
      </c>
      <c r="N12" s="2" t="s">
        <v>16</v>
      </c>
      <c r="O12" s="2" t="s">
        <v>24</v>
      </c>
      <c r="P12" s="17" t="s">
        <v>18</v>
      </c>
      <c r="Q12" s="5">
        <f t="shared" si="1"/>
        <v>10.725</v>
      </c>
      <c r="R12" s="5">
        <f t="shared" si="0"/>
        <v>6.8500000000000005</v>
      </c>
      <c r="S12" s="5">
        <f t="shared" si="2"/>
        <v>6.56</v>
      </c>
      <c r="T12" s="23">
        <f>('Investor-Inputs'!$G$19 * Q12) + ('Investor-Inputs'!$J$19 * R12) + ('Investor-Inputs'!$N$19 * S12)</f>
        <v>52.435000000000002</v>
      </c>
      <c r="U12" s="27">
        <f t="shared" si="3"/>
        <v>275</v>
      </c>
    </row>
    <row r="13" spans="3:21" x14ac:dyDescent="0.25">
      <c r="C13" s="2" t="s">
        <v>25</v>
      </c>
      <c r="D13" s="2">
        <v>5</v>
      </c>
      <c r="E13" s="2" t="s">
        <v>14</v>
      </c>
      <c r="F13" s="2" t="s">
        <v>15</v>
      </c>
      <c r="G13" s="3">
        <v>-2.41</v>
      </c>
      <c r="H13" s="3">
        <v>-6.84</v>
      </c>
      <c r="I13" s="3">
        <v>15.09</v>
      </c>
      <c r="J13" s="3">
        <v>6.23</v>
      </c>
      <c r="K13" s="3">
        <v>12.28</v>
      </c>
      <c r="L13" s="21">
        <v>10.35</v>
      </c>
      <c r="M13" s="3">
        <v>2.52</v>
      </c>
      <c r="N13" s="2" t="s">
        <v>16</v>
      </c>
      <c r="O13" s="4" t="s">
        <v>17</v>
      </c>
      <c r="P13" s="18" t="s">
        <v>18</v>
      </c>
      <c r="Q13" s="5">
        <f t="shared" si="1"/>
        <v>12.176</v>
      </c>
      <c r="R13" s="5">
        <f t="shared" si="0"/>
        <v>8.2899999999999991</v>
      </c>
      <c r="S13" s="5">
        <f t="shared" si="2"/>
        <v>7.3999999999999995</v>
      </c>
      <c r="T13" s="23">
        <f>('Investor-Inputs'!$G$19 * Q13) + ('Investor-Inputs'!$J$19 * R13) + ('Investor-Inputs'!$N$19 * S13)</f>
        <v>60.507999999999996</v>
      </c>
      <c r="U13" s="27">
        <f t="shared" si="3"/>
        <v>236</v>
      </c>
    </row>
    <row r="14" spans="3:21" x14ac:dyDescent="0.25">
      <c r="C14" s="2" t="s">
        <v>26</v>
      </c>
      <c r="D14" s="2">
        <v>5</v>
      </c>
      <c r="E14" s="2" t="s">
        <v>14</v>
      </c>
      <c r="F14" s="2" t="s">
        <v>15</v>
      </c>
      <c r="G14" s="3">
        <v>6.81</v>
      </c>
      <c r="H14" s="3">
        <v>2.67</v>
      </c>
      <c r="I14" s="3">
        <v>15.95</v>
      </c>
      <c r="J14" s="3">
        <v>8.77</v>
      </c>
      <c r="K14" s="3">
        <v>14.83</v>
      </c>
      <c r="L14" s="21">
        <v>12.24</v>
      </c>
      <c r="M14" s="3">
        <v>0.95</v>
      </c>
      <c r="N14" s="2" t="s">
        <v>16</v>
      </c>
      <c r="O14" s="4" t="s">
        <v>17</v>
      </c>
      <c r="P14" s="18" t="s">
        <v>18</v>
      </c>
      <c r="Q14" s="5">
        <f t="shared" si="1"/>
        <v>13.795</v>
      </c>
      <c r="R14" s="5">
        <f t="shared" si="0"/>
        <v>10.504999999999999</v>
      </c>
      <c r="S14" s="5">
        <f t="shared" si="2"/>
        <v>7.89</v>
      </c>
      <c r="T14" s="23">
        <f>('Investor-Inputs'!$G$19 * Q14) + ('Investor-Inputs'!$J$19 * R14) + ('Investor-Inputs'!$N$19 * S14)</f>
        <v>70.284999999999997</v>
      </c>
      <c r="U14" s="27">
        <f t="shared" si="3"/>
        <v>192</v>
      </c>
    </row>
    <row r="15" spans="3:21" x14ac:dyDescent="0.25">
      <c r="C15" s="2" t="s">
        <v>27</v>
      </c>
      <c r="D15" s="2">
        <v>4</v>
      </c>
      <c r="E15" s="2" t="s">
        <v>14</v>
      </c>
      <c r="F15" s="2" t="s">
        <v>15</v>
      </c>
      <c r="G15" s="3">
        <v>8.35</v>
      </c>
      <c r="H15" s="3">
        <v>6.86</v>
      </c>
      <c r="I15" s="3">
        <v>20.83</v>
      </c>
      <c r="J15" s="3">
        <v>10.65</v>
      </c>
      <c r="K15" s="3">
        <v>15.1</v>
      </c>
      <c r="L15" s="21">
        <v>13.33</v>
      </c>
      <c r="M15" s="3">
        <v>0.98</v>
      </c>
      <c r="N15" s="2" t="s">
        <v>16</v>
      </c>
      <c r="O15" s="4" t="s">
        <v>28</v>
      </c>
      <c r="P15" s="18" t="s">
        <v>18</v>
      </c>
      <c r="Q15" s="5">
        <f t="shared" si="1"/>
        <v>15.881999999999998</v>
      </c>
      <c r="R15" s="5">
        <f t="shared" si="0"/>
        <v>11.99</v>
      </c>
      <c r="S15" s="5">
        <f t="shared" si="2"/>
        <v>8.0399999999999991</v>
      </c>
      <c r="T15" s="23">
        <f>('Investor-Inputs'!$G$19 * Q15) + ('Investor-Inputs'!$J$19 * R15) + ('Investor-Inputs'!$N$19 * S15)</f>
        <v>79.665999999999997</v>
      </c>
      <c r="U15" s="27">
        <f t="shared" si="3"/>
        <v>132</v>
      </c>
    </row>
    <row r="16" spans="3:21" x14ac:dyDescent="0.25">
      <c r="C16" s="2" t="s">
        <v>29</v>
      </c>
      <c r="D16" s="2">
        <v>4</v>
      </c>
      <c r="E16" s="2" t="s">
        <v>14</v>
      </c>
      <c r="F16" s="2" t="s">
        <v>15</v>
      </c>
      <c r="G16" s="3">
        <v>-0.09</v>
      </c>
      <c r="H16" s="3">
        <v>-5.13</v>
      </c>
      <c r="I16" s="3">
        <v>12.29</v>
      </c>
      <c r="J16" s="3">
        <v>4.59</v>
      </c>
      <c r="K16" s="3">
        <v>12.11</v>
      </c>
      <c r="L16" s="21">
        <v>9</v>
      </c>
      <c r="M16" s="3">
        <v>2.12</v>
      </c>
      <c r="N16" s="2" t="s">
        <v>16</v>
      </c>
      <c r="O16" s="4" t="s">
        <v>24</v>
      </c>
      <c r="P16" s="18" t="s">
        <v>18</v>
      </c>
      <c r="Q16" s="5">
        <f t="shared" si="1"/>
        <v>10.971</v>
      </c>
      <c r="R16" s="5">
        <f t="shared" si="0"/>
        <v>6.7949999999999999</v>
      </c>
      <c r="S16" s="5">
        <f t="shared" si="2"/>
        <v>7.1150000000000002</v>
      </c>
      <c r="T16" s="23">
        <f>('Investor-Inputs'!$G$19 * Q16) + ('Investor-Inputs'!$J$19 * R16) + ('Investor-Inputs'!$N$19 * S16)</f>
        <v>53.618000000000002</v>
      </c>
      <c r="U16" s="27">
        <f t="shared" si="3"/>
        <v>273</v>
      </c>
    </row>
    <row r="17" spans="3:21" x14ac:dyDescent="0.25">
      <c r="C17" s="2" t="s">
        <v>30</v>
      </c>
      <c r="D17" s="2">
        <v>5</v>
      </c>
      <c r="E17" s="2" t="s">
        <v>14</v>
      </c>
      <c r="F17" s="2" t="s">
        <v>15</v>
      </c>
      <c r="G17" s="3">
        <v>-1.59</v>
      </c>
      <c r="H17" s="3">
        <v>-6.6</v>
      </c>
      <c r="I17" s="3">
        <v>12.48</v>
      </c>
      <c r="J17" s="3">
        <v>3.95</v>
      </c>
      <c r="K17" s="3">
        <v>13.84</v>
      </c>
      <c r="L17" s="21">
        <v>9.59</v>
      </c>
      <c r="M17" s="3">
        <v>1.58</v>
      </c>
      <c r="N17" s="2" t="s">
        <v>16</v>
      </c>
      <c r="O17" s="4" t="s">
        <v>17</v>
      </c>
      <c r="P17" s="18" t="s">
        <v>18</v>
      </c>
      <c r="Q17" s="5">
        <f t="shared" si="1"/>
        <v>11.912000000000001</v>
      </c>
      <c r="R17" s="5">
        <f t="shared" si="0"/>
        <v>6.77</v>
      </c>
      <c r="S17" s="5">
        <f t="shared" si="2"/>
        <v>7.71</v>
      </c>
      <c r="T17" s="23">
        <f>('Investor-Inputs'!$G$19 * Q17) + ('Investor-Inputs'!$J$19 * R17) + ('Investor-Inputs'!$N$19 * S17)</f>
        <v>56.986000000000004</v>
      </c>
      <c r="U17" s="27">
        <f t="shared" si="3"/>
        <v>246</v>
      </c>
    </row>
    <row r="18" spans="3:21" x14ac:dyDescent="0.25">
      <c r="C18" s="2" t="s">
        <v>31</v>
      </c>
      <c r="D18" s="2">
        <v>4</v>
      </c>
      <c r="E18" s="2" t="s">
        <v>14</v>
      </c>
      <c r="F18" s="2" t="s">
        <v>15</v>
      </c>
      <c r="G18" s="3">
        <v>7.88</v>
      </c>
      <c r="H18" s="3">
        <v>4.9000000000000004</v>
      </c>
      <c r="I18" s="3">
        <v>18.079999999999998</v>
      </c>
      <c r="J18" s="3">
        <v>9.68</v>
      </c>
      <c r="K18" s="2"/>
      <c r="L18" s="20"/>
      <c r="M18" s="3">
        <v>0.88</v>
      </c>
      <c r="N18" s="2" t="s">
        <v>16</v>
      </c>
      <c r="O18" s="4" t="s">
        <v>17</v>
      </c>
      <c r="P18" s="18" t="s">
        <v>18</v>
      </c>
      <c r="Q18" s="5">
        <f t="shared" si="1"/>
        <v>7.2319999999999993</v>
      </c>
      <c r="R18" s="5">
        <f t="shared" si="0"/>
        <v>4.84</v>
      </c>
      <c r="S18" s="5">
        <f t="shared" si="2"/>
        <v>0.44</v>
      </c>
      <c r="T18" s="23">
        <f>('Investor-Inputs'!$G$19 * Q18) + ('Investor-Inputs'!$J$19 * R18) + ('Investor-Inputs'!$N$19 * S18)</f>
        <v>31.815999999999999</v>
      </c>
      <c r="U18" s="27">
        <f t="shared" si="3"/>
        <v>504</v>
      </c>
    </row>
    <row r="19" spans="3:21" x14ac:dyDescent="0.25">
      <c r="C19" s="2" t="s">
        <v>32</v>
      </c>
      <c r="D19" s="2">
        <v>5</v>
      </c>
      <c r="E19" s="2" t="s">
        <v>14</v>
      </c>
      <c r="F19" s="2" t="s">
        <v>15</v>
      </c>
      <c r="G19" s="3">
        <v>6.85</v>
      </c>
      <c r="H19" s="3">
        <v>2.71</v>
      </c>
      <c r="I19" s="3">
        <v>16.02</v>
      </c>
      <c r="J19" s="3">
        <v>8.85</v>
      </c>
      <c r="K19" s="2"/>
      <c r="L19" s="20"/>
      <c r="M19" s="3">
        <v>1</v>
      </c>
      <c r="N19" s="2" t="s">
        <v>16</v>
      </c>
      <c r="O19" s="4" t="s">
        <v>17</v>
      </c>
      <c r="P19" s="18" t="s">
        <v>18</v>
      </c>
      <c r="Q19" s="5">
        <f t="shared" si="1"/>
        <v>6.4080000000000004</v>
      </c>
      <c r="R19" s="5">
        <f t="shared" si="0"/>
        <v>4.4249999999999998</v>
      </c>
      <c r="S19" s="5">
        <f t="shared" si="2"/>
        <v>0.5</v>
      </c>
      <c r="T19" s="23">
        <f>('Investor-Inputs'!$G$19 * Q19) + ('Investor-Inputs'!$J$19 * R19) + ('Investor-Inputs'!$N$19 * S19)</f>
        <v>28.573999999999998</v>
      </c>
      <c r="U19" s="27">
        <f t="shared" si="3"/>
        <v>546</v>
      </c>
    </row>
    <row r="20" spans="3:21" x14ac:dyDescent="0.25">
      <c r="C20" s="2" t="s">
        <v>33</v>
      </c>
      <c r="D20" s="2">
        <v>5</v>
      </c>
      <c r="E20" s="2" t="s">
        <v>14</v>
      </c>
      <c r="F20" s="2" t="s">
        <v>15</v>
      </c>
      <c r="G20" s="3">
        <v>17.399999999999999</v>
      </c>
      <c r="H20" s="3">
        <v>18.98</v>
      </c>
      <c r="I20" s="3">
        <v>25.53</v>
      </c>
      <c r="J20" s="3">
        <v>16.37</v>
      </c>
      <c r="K20" s="3">
        <v>28</v>
      </c>
      <c r="L20" s="21">
        <v>23.73</v>
      </c>
      <c r="M20" s="3">
        <v>0.14000000000000001</v>
      </c>
      <c r="N20" s="2" t="s">
        <v>16</v>
      </c>
      <c r="O20" s="4" t="s">
        <v>28</v>
      </c>
      <c r="P20" s="18" t="s">
        <v>18</v>
      </c>
      <c r="Q20" s="5">
        <f t="shared" si="1"/>
        <v>24.212000000000003</v>
      </c>
      <c r="R20" s="5">
        <f t="shared" si="0"/>
        <v>20.05</v>
      </c>
      <c r="S20" s="5">
        <f t="shared" si="2"/>
        <v>14.07</v>
      </c>
      <c r="T20" s="23">
        <f>('Investor-Inputs'!$G$19 * Q20) + ('Investor-Inputs'!$J$19 * R20) + ('Investor-Inputs'!$N$19 * S20)</f>
        <v>126.80600000000001</v>
      </c>
      <c r="U20" s="27">
        <f t="shared" si="3"/>
        <v>7</v>
      </c>
    </row>
    <row r="21" spans="3:21" x14ac:dyDescent="0.25">
      <c r="C21" s="2" t="s">
        <v>34</v>
      </c>
      <c r="D21" s="2">
        <v>5</v>
      </c>
      <c r="E21" s="2" t="s">
        <v>14</v>
      </c>
      <c r="F21" s="2" t="s">
        <v>15</v>
      </c>
      <c r="G21" s="3">
        <v>7.0000000000000007E-2</v>
      </c>
      <c r="H21" s="3">
        <v>-5.94</v>
      </c>
      <c r="I21" s="3">
        <v>15.26</v>
      </c>
      <c r="J21" s="3">
        <v>6.51</v>
      </c>
      <c r="K21" s="3">
        <v>14.67</v>
      </c>
      <c r="L21" s="21">
        <v>11.25</v>
      </c>
      <c r="M21" s="3">
        <v>3.59</v>
      </c>
      <c r="N21" s="2" t="s">
        <v>16</v>
      </c>
      <c r="O21" s="4" t="s">
        <v>17</v>
      </c>
      <c r="P21" s="18" t="s">
        <v>18</v>
      </c>
      <c r="Q21" s="5">
        <f t="shared" si="1"/>
        <v>13.439</v>
      </c>
      <c r="R21" s="5">
        <f t="shared" si="0"/>
        <v>8.879999999999999</v>
      </c>
      <c r="S21" s="5">
        <f t="shared" si="2"/>
        <v>9.129999999999999</v>
      </c>
      <c r="T21" s="23">
        <f>('Investor-Inputs'!$G$19 * Q21) + ('Investor-Inputs'!$J$19 * R21) + ('Investor-Inputs'!$N$19 * S21)</f>
        <v>67.206999999999994</v>
      </c>
      <c r="U21" s="27">
        <f t="shared" si="3"/>
        <v>202</v>
      </c>
    </row>
    <row r="22" spans="3:21" x14ac:dyDescent="0.25">
      <c r="C22" s="2" t="s">
        <v>35</v>
      </c>
      <c r="D22" s="2">
        <v>4</v>
      </c>
      <c r="E22" s="2" t="s">
        <v>14</v>
      </c>
      <c r="F22" s="2" t="s">
        <v>15</v>
      </c>
      <c r="G22" s="3">
        <v>1.08</v>
      </c>
      <c r="H22" s="3">
        <v>-4.13</v>
      </c>
      <c r="I22" s="3">
        <v>13.56</v>
      </c>
      <c r="J22" s="3">
        <v>5.49</v>
      </c>
      <c r="K22" s="3">
        <v>12.11</v>
      </c>
      <c r="L22" s="21">
        <v>9.43</v>
      </c>
      <c r="M22" s="3">
        <v>0.57999999999999996</v>
      </c>
      <c r="N22" s="2" t="s">
        <v>16</v>
      </c>
      <c r="O22" s="4" t="s">
        <v>24</v>
      </c>
      <c r="P22" s="18" t="s">
        <v>18</v>
      </c>
      <c r="Q22" s="5">
        <f t="shared" si="1"/>
        <v>11.478999999999999</v>
      </c>
      <c r="R22" s="5">
        <f t="shared" si="0"/>
        <v>7.46</v>
      </c>
      <c r="S22" s="5">
        <f t="shared" si="2"/>
        <v>6.3449999999999998</v>
      </c>
      <c r="T22" s="23">
        <f>('Investor-Inputs'!$G$19 * Q22) + ('Investor-Inputs'!$J$19 * R22) + ('Investor-Inputs'!$N$19 * S22)</f>
        <v>55.701999999999998</v>
      </c>
      <c r="U22" s="27">
        <f t="shared" si="3"/>
        <v>258</v>
      </c>
    </row>
    <row r="23" spans="3:21" x14ac:dyDescent="0.25">
      <c r="C23" s="2" t="s">
        <v>36</v>
      </c>
      <c r="D23" s="2">
        <v>4</v>
      </c>
      <c r="E23" s="2" t="s">
        <v>14</v>
      </c>
      <c r="F23" s="2" t="s">
        <v>15</v>
      </c>
      <c r="G23" s="3">
        <v>6.65</v>
      </c>
      <c r="H23" s="3">
        <v>2.5299999999999998</v>
      </c>
      <c r="I23" s="3">
        <v>15.8</v>
      </c>
      <c r="J23" s="3">
        <v>8.67</v>
      </c>
      <c r="K23" s="2"/>
      <c r="L23" s="20"/>
      <c r="M23" s="3">
        <v>1.25</v>
      </c>
      <c r="N23" s="2" t="s">
        <v>16</v>
      </c>
      <c r="O23" s="4" t="s">
        <v>17</v>
      </c>
      <c r="P23" s="18" t="s">
        <v>18</v>
      </c>
      <c r="Q23" s="5">
        <f t="shared" si="1"/>
        <v>6.32</v>
      </c>
      <c r="R23" s="5">
        <f t="shared" si="0"/>
        <v>4.335</v>
      </c>
      <c r="S23" s="5">
        <f t="shared" si="2"/>
        <v>0.625</v>
      </c>
      <c r="T23" s="23">
        <f>('Investor-Inputs'!$G$19 * Q23) + ('Investor-Inputs'!$J$19 * R23) + ('Investor-Inputs'!$N$19 * S23)</f>
        <v>28.255000000000003</v>
      </c>
      <c r="U23" s="27">
        <f t="shared" si="3"/>
        <v>552</v>
      </c>
    </row>
    <row r="24" spans="3:21" x14ac:dyDescent="0.25">
      <c r="C24" s="2" t="s">
        <v>37</v>
      </c>
      <c r="D24" s="2">
        <v>4</v>
      </c>
      <c r="E24" s="2" t="s">
        <v>14</v>
      </c>
      <c r="F24" s="2" t="s">
        <v>15</v>
      </c>
      <c r="G24" s="3">
        <v>2.12</v>
      </c>
      <c r="H24" s="3">
        <v>-3.12</v>
      </c>
      <c r="I24" s="3">
        <v>15.53</v>
      </c>
      <c r="J24" s="3">
        <v>7</v>
      </c>
      <c r="K24" s="3">
        <v>13.55</v>
      </c>
      <c r="L24" s="21">
        <v>10.5</v>
      </c>
      <c r="M24" s="3">
        <v>2.08</v>
      </c>
      <c r="N24" s="2" t="s">
        <v>16</v>
      </c>
      <c r="O24" s="4" t="s">
        <v>17</v>
      </c>
      <c r="P24" s="18" t="s">
        <v>18</v>
      </c>
      <c r="Q24" s="5">
        <f t="shared" si="1"/>
        <v>12.987</v>
      </c>
      <c r="R24" s="5">
        <f t="shared" si="0"/>
        <v>8.75</v>
      </c>
      <c r="S24" s="5">
        <f t="shared" si="2"/>
        <v>7.8150000000000004</v>
      </c>
      <c r="T24" s="23">
        <f>('Investor-Inputs'!$G$19 * Q24) + ('Investor-Inputs'!$J$19 * R24) + ('Investor-Inputs'!$N$19 * S24)</f>
        <v>64.275999999999996</v>
      </c>
      <c r="U24" s="27">
        <f t="shared" si="3"/>
        <v>212</v>
      </c>
    </row>
    <row r="25" spans="3:21" x14ac:dyDescent="0.25">
      <c r="C25" s="2" t="s">
        <v>38</v>
      </c>
      <c r="D25" s="2">
        <v>4</v>
      </c>
      <c r="E25" s="2" t="s">
        <v>14</v>
      </c>
      <c r="F25" s="2" t="s">
        <v>15</v>
      </c>
      <c r="G25" s="3">
        <v>0.86</v>
      </c>
      <c r="H25" s="3">
        <v>-5.19</v>
      </c>
      <c r="I25" s="3">
        <v>12.92</v>
      </c>
      <c r="J25" s="3">
        <v>5.64</v>
      </c>
      <c r="K25" s="3">
        <v>12.12</v>
      </c>
      <c r="L25" s="21">
        <v>9.24</v>
      </c>
      <c r="M25" s="3">
        <v>1.89</v>
      </c>
      <c r="N25" s="2" t="s">
        <v>16</v>
      </c>
      <c r="O25" s="4" t="s">
        <v>24</v>
      </c>
      <c r="P25" s="18" t="s">
        <v>18</v>
      </c>
      <c r="Q25" s="5">
        <f t="shared" si="1"/>
        <v>11.228</v>
      </c>
      <c r="R25" s="5">
        <f t="shared" si="0"/>
        <v>7.4399999999999995</v>
      </c>
      <c r="S25" s="5">
        <f t="shared" si="2"/>
        <v>7.0049999999999999</v>
      </c>
      <c r="T25" s="23">
        <f>('Investor-Inputs'!$G$19 * Q25) + ('Investor-Inputs'!$J$19 * R25) + ('Investor-Inputs'!$N$19 * S25)</f>
        <v>55.568999999999996</v>
      </c>
      <c r="U25" s="27">
        <f t="shared" si="3"/>
        <v>262</v>
      </c>
    </row>
    <row r="26" spans="3:21" x14ac:dyDescent="0.25">
      <c r="C26" s="2" t="s">
        <v>39</v>
      </c>
      <c r="D26" s="2">
        <v>4</v>
      </c>
      <c r="E26" s="2" t="s">
        <v>14</v>
      </c>
      <c r="F26" s="2" t="s">
        <v>15</v>
      </c>
      <c r="G26" s="3">
        <v>8.33</v>
      </c>
      <c r="H26" s="3">
        <v>6.98</v>
      </c>
      <c r="I26" s="3">
        <v>20.72</v>
      </c>
      <c r="J26" s="3">
        <v>10.66</v>
      </c>
      <c r="K26" s="3">
        <v>15.03</v>
      </c>
      <c r="L26" s="21">
        <v>13.29</v>
      </c>
      <c r="M26" s="3">
        <v>0.9</v>
      </c>
      <c r="N26" s="2" t="s">
        <v>16</v>
      </c>
      <c r="O26" s="4" t="s">
        <v>28</v>
      </c>
      <c r="P26" s="18" t="s">
        <v>18</v>
      </c>
      <c r="Q26" s="5">
        <f t="shared" si="1"/>
        <v>15.803000000000001</v>
      </c>
      <c r="R26" s="5">
        <f t="shared" si="0"/>
        <v>11.975</v>
      </c>
      <c r="S26" s="5">
        <f t="shared" si="2"/>
        <v>7.9649999999999999</v>
      </c>
      <c r="T26" s="23">
        <f>('Investor-Inputs'!$G$19 * Q26) + ('Investor-Inputs'!$J$19 * R26) + ('Investor-Inputs'!$N$19 * S26)</f>
        <v>79.324000000000012</v>
      </c>
      <c r="U26" s="27">
        <f t="shared" si="3"/>
        <v>134</v>
      </c>
    </row>
    <row r="27" spans="3:21" x14ac:dyDescent="0.25">
      <c r="C27" s="2" t="s">
        <v>40</v>
      </c>
      <c r="D27" s="2">
        <v>4</v>
      </c>
      <c r="E27" s="2" t="s">
        <v>14</v>
      </c>
      <c r="F27" s="2" t="s">
        <v>15</v>
      </c>
      <c r="G27" s="3">
        <v>3.38</v>
      </c>
      <c r="H27" s="3">
        <v>-1.33</v>
      </c>
      <c r="I27" s="3">
        <v>14.48</v>
      </c>
      <c r="J27" s="3">
        <v>6.77</v>
      </c>
      <c r="K27" s="3">
        <v>13.29</v>
      </c>
      <c r="L27" s="21">
        <v>10.45</v>
      </c>
      <c r="M27" s="3">
        <v>0.11</v>
      </c>
      <c r="N27" s="2" t="s">
        <v>16</v>
      </c>
      <c r="O27" s="4" t="s">
        <v>17</v>
      </c>
      <c r="P27" s="18" t="s">
        <v>18</v>
      </c>
      <c r="Q27" s="5">
        <f t="shared" si="1"/>
        <v>12.437000000000001</v>
      </c>
      <c r="R27" s="5">
        <f t="shared" si="0"/>
        <v>8.61</v>
      </c>
      <c r="S27" s="5">
        <f t="shared" si="2"/>
        <v>6.6999999999999993</v>
      </c>
      <c r="T27" s="23">
        <f>('Investor-Inputs'!$G$19 * Q27) + ('Investor-Inputs'!$J$19 * R27) + ('Investor-Inputs'!$N$19 * S27)</f>
        <v>61.231000000000009</v>
      </c>
      <c r="U27" s="27">
        <f t="shared" si="3"/>
        <v>232</v>
      </c>
    </row>
    <row r="28" spans="3:21" x14ac:dyDescent="0.25">
      <c r="C28" s="2" t="s">
        <v>41</v>
      </c>
      <c r="D28" s="2">
        <v>4</v>
      </c>
      <c r="E28" s="2" t="s">
        <v>14</v>
      </c>
      <c r="F28" s="2" t="s">
        <v>15</v>
      </c>
      <c r="G28" s="3">
        <v>7.86</v>
      </c>
      <c r="H28" s="3">
        <v>6.38</v>
      </c>
      <c r="I28" s="3">
        <v>20.48</v>
      </c>
      <c r="J28" s="3">
        <v>10.34</v>
      </c>
      <c r="K28" s="2"/>
      <c r="L28" s="20"/>
      <c r="M28" s="3">
        <v>1.07</v>
      </c>
      <c r="N28" s="2" t="s">
        <v>16</v>
      </c>
      <c r="O28" s="4" t="s">
        <v>17</v>
      </c>
      <c r="P28" s="18" t="s">
        <v>18</v>
      </c>
      <c r="Q28" s="5">
        <f t="shared" si="1"/>
        <v>8.1920000000000002</v>
      </c>
      <c r="R28" s="5">
        <f t="shared" si="0"/>
        <v>5.17</v>
      </c>
      <c r="S28" s="5">
        <f t="shared" si="2"/>
        <v>0.53500000000000003</v>
      </c>
      <c r="T28" s="23">
        <f>('Investor-Inputs'!$G$19 * Q28) + ('Investor-Inputs'!$J$19 * R28) + ('Investor-Inputs'!$N$19 * S28)</f>
        <v>35.450999999999993</v>
      </c>
      <c r="U28" s="27">
        <f t="shared" si="3"/>
        <v>383</v>
      </c>
    </row>
    <row r="29" spans="3:21" x14ac:dyDescent="0.25">
      <c r="C29" s="2" t="s">
        <v>42</v>
      </c>
      <c r="D29" s="2">
        <v>5</v>
      </c>
      <c r="E29" s="2" t="s">
        <v>14</v>
      </c>
      <c r="F29" s="2" t="s">
        <v>15</v>
      </c>
      <c r="G29" s="3">
        <v>3.05</v>
      </c>
      <c r="H29" s="3">
        <v>-3.29</v>
      </c>
      <c r="I29" s="3">
        <v>16.16</v>
      </c>
      <c r="J29" s="3">
        <v>7.34</v>
      </c>
      <c r="K29" s="3">
        <v>17.079999999999998</v>
      </c>
      <c r="L29" s="21">
        <v>12.88</v>
      </c>
      <c r="M29" s="3">
        <v>2.08</v>
      </c>
      <c r="N29" s="2" t="s">
        <v>16</v>
      </c>
      <c r="O29" s="4" t="s">
        <v>17</v>
      </c>
      <c r="P29" s="18" t="s">
        <v>18</v>
      </c>
      <c r="Q29" s="5">
        <f t="shared" si="1"/>
        <v>15.004</v>
      </c>
      <c r="R29" s="5">
        <f t="shared" si="0"/>
        <v>10.11</v>
      </c>
      <c r="S29" s="5">
        <f t="shared" si="2"/>
        <v>9.5799999999999983</v>
      </c>
      <c r="T29" s="23">
        <f>('Investor-Inputs'!$G$19 * Q29) + ('Investor-Inputs'!$J$19 * R29) + ('Investor-Inputs'!$N$19 * S29)</f>
        <v>74.811999999999998</v>
      </c>
      <c r="U29" s="27">
        <f t="shared" si="3"/>
        <v>162</v>
      </c>
    </row>
    <row r="30" spans="3:21" x14ac:dyDescent="0.25">
      <c r="C30" s="2" t="s">
        <v>43</v>
      </c>
      <c r="D30" s="2">
        <v>4</v>
      </c>
      <c r="E30" s="2" t="s">
        <v>14</v>
      </c>
      <c r="F30" s="2" t="s">
        <v>15</v>
      </c>
      <c r="G30" s="3">
        <v>9.02</v>
      </c>
      <c r="H30" s="3">
        <v>7.57</v>
      </c>
      <c r="I30" s="3">
        <v>21.18</v>
      </c>
      <c r="J30" s="3">
        <v>11.12</v>
      </c>
      <c r="K30" s="3">
        <v>15.23</v>
      </c>
      <c r="L30" s="21">
        <v>13.65</v>
      </c>
      <c r="M30" s="3">
        <v>0.3</v>
      </c>
      <c r="N30" s="2" t="s">
        <v>16</v>
      </c>
      <c r="O30" s="4" t="s">
        <v>28</v>
      </c>
      <c r="P30" s="18" t="s">
        <v>18</v>
      </c>
      <c r="Q30" s="5">
        <f t="shared" si="1"/>
        <v>16.087</v>
      </c>
      <c r="R30" s="5">
        <f t="shared" si="0"/>
        <v>12.385</v>
      </c>
      <c r="S30" s="5">
        <f t="shared" si="2"/>
        <v>7.7650000000000006</v>
      </c>
      <c r="T30" s="23">
        <f>('Investor-Inputs'!$G$19 * Q30) + ('Investor-Inputs'!$J$19 * R30) + ('Investor-Inputs'!$N$19 * S30)</f>
        <v>80.795999999999992</v>
      </c>
      <c r="U30" s="27">
        <f t="shared" si="3"/>
        <v>130</v>
      </c>
    </row>
    <row r="31" spans="3:21" x14ac:dyDescent="0.25">
      <c r="C31" s="2" t="s">
        <v>44</v>
      </c>
      <c r="D31" s="2">
        <v>4</v>
      </c>
      <c r="E31" s="2" t="s">
        <v>14</v>
      </c>
      <c r="F31" s="2" t="s">
        <v>15</v>
      </c>
      <c r="G31" s="3">
        <v>2.3199999999999998</v>
      </c>
      <c r="H31" s="3">
        <v>-2.17</v>
      </c>
      <c r="I31" s="3">
        <v>12.03</v>
      </c>
      <c r="J31" s="3">
        <v>6.1</v>
      </c>
      <c r="K31" s="3">
        <v>12.24</v>
      </c>
      <c r="L31" s="21">
        <v>9.4600000000000009</v>
      </c>
      <c r="M31" s="3">
        <v>1.47</v>
      </c>
      <c r="N31" s="2" t="s">
        <v>16</v>
      </c>
      <c r="O31" s="4" t="s">
        <v>24</v>
      </c>
      <c r="P31" s="18" t="s">
        <v>18</v>
      </c>
      <c r="Q31" s="5">
        <f t="shared" si="1"/>
        <v>10.932</v>
      </c>
      <c r="R31" s="5">
        <f t="shared" si="0"/>
        <v>7.78</v>
      </c>
      <c r="S31" s="5">
        <f t="shared" si="2"/>
        <v>6.8550000000000004</v>
      </c>
      <c r="T31" s="23">
        <f>('Investor-Inputs'!$G$19 * Q31) + ('Investor-Inputs'!$J$19 * R31) + ('Investor-Inputs'!$N$19 * S31)</f>
        <v>55.210999999999999</v>
      </c>
      <c r="U31" s="27">
        <f t="shared" si="3"/>
        <v>268</v>
      </c>
    </row>
    <row r="32" spans="3:21" x14ac:dyDescent="0.25">
      <c r="C32" s="2" t="s">
        <v>45</v>
      </c>
      <c r="D32" s="2">
        <v>5</v>
      </c>
      <c r="E32" s="2" t="s">
        <v>14</v>
      </c>
      <c r="F32" s="2" t="s">
        <v>15</v>
      </c>
      <c r="G32" s="3">
        <v>8.24</v>
      </c>
      <c r="H32" s="3">
        <v>6.83</v>
      </c>
      <c r="I32" s="3">
        <v>20.71</v>
      </c>
      <c r="J32" s="3">
        <v>10.59</v>
      </c>
      <c r="K32" s="2"/>
      <c r="L32" s="20"/>
      <c r="M32" s="3">
        <v>0.71</v>
      </c>
      <c r="N32" s="2" t="s">
        <v>16</v>
      </c>
      <c r="O32" s="4" t="s">
        <v>28</v>
      </c>
      <c r="P32" s="18" t="s">
        <v>18</v>
      </c>
      <c r="Q32" s="5">
        <f t="shared" si="1"/>
        <v>8.2840000000000007</v>
      </c>
      <c r="R32" s="5">
        <f t="shared" si="0"/>
        <v>5.2949999999999999</v>
      </c>
      <c r="S32" s="5">
        <f t="shared" si="2"/>
        <v>0.35499999999999998</v>
      </c>
      <c r="T32" s="23">
        <f>('Investor-Inputs'!$G$19 * Q32) + ('Investor-Inputs'!$J$19 * R32) + ('Investor-Inputs'!$N$19 * S32)</f>
        <v>35.797000000000004</v>
      </c>
      <c r="U32" s="27">
        <f t="shared" si="3"/>
        <v>359</v>
      </c>
    </row>
    <row r="33" spans="3:21" x14ac:dyDescent="0.25">
      <c r="C33" s="2" t="s">
        <v>46</v>
      </c>
      <c r="D33" s="2">
        <v>4</v>
      </c>
      <c r="E33" s="2" t="s">
        <v>14</v>
      </c>
      <c r="F33" s="2" t="s">
        <v>15</v>
      </c>
      <c r="G33" s="3">
        <v>7.83</v>
      </c>
      <c r="H33" s="3">
        <v>5.0199999999999996</v>
      </c>
      <c r="I33" s="3">
        <v>17.79</v>
      </c>
      <c r="J33" s="3">
        <v>9.5500000000000007</v>
      </c>
      <c r="K33" s="3">
        <v>14.25</v>
      </c>
      <c r="L33" s="21">
        <v>12.35</v>
      </c>
      <c r="M33" s="3">
        <v>1.06</v>
      </c>
      <c r="N33" s="2" t="s">
        <v>16</v>
      </c>
      <c r="O33" s="4" t="s">
        <v>17</v>
      </c>
      <c r="P33" s="18" t="s">
        <v>18</v>
      </c>
      <c r="Q33" s="5">
        <f t="shared" si="1"/>
        <v>14.241</v>
      </c>
      <c r="R33" s="5">
        <f t="shared" si="0"/>
        <v>10.95</v>
      </c>
      <c r="S33" s="5">
        <f t="shared" si="2"/>
        <v>7.6550000000000002</v>
      </c>
      <c r="T33" s="23">
        <f>('Investor-Inputs'!$G$19 * Q33) + ('Investor-Inputs'!$J$19 * R33) + ('Investor-Inputs'!$N$19 * S33)</f>
        <v>72.277999999999992</v>
      </c>
      <c r="U33" s="27">
        <f t="shared" si="3"/>
        <v>182</v>
      </c>
    </row>
    <row r="34" spans="3:21" x14ac:dyDescent="0.25">
      <c r="C34" s="2" t="s">
        <v>47</v>
      </c>
      <c r="D34" s="2">
        <v>4</v>
      </c>
      <c r="E34" s="2" t="s">
        <v>14</v>
      </c>
      <c r="F34" s="2" t="s">
        <v>15</v>
      </c>
      <c r="G34" s="3">
        <v>2.52</v>
      </c>
      <c r="H34" s="3">
        <v>-1.62</v>
      </c>
      <c r="I34" s="3">
        <v>13.25</v>
      </c>
      <c r="J34" s="3">
        <v>6.04</v>
      </c>
      <c r="K34" s="3">
        <v>12.53</v>
      </c>
      <c r="L34" s="21">
        <v>9.59</v>
      </c>
      <c r="M34" s="3">
        <v>2.33</v>
      </c>
      <c r="N34" s="2" t="s">
        <v>16</v>
      </c>
      <c r="O34" s="4" t="s">
        <v>17</v>
      </c>
      <c r="P34" s="18" t="s">
        <v>18</v>
      </c>
      <c r="Q34" s="5">
        <f t="shared" si="1"/>
        <v>11.565000000000001</v>
      </c>
      <c r="R34" s="5">
        <f t="shared" si="0"/>
        <v>7.8149999999999995</v>
      </c>
      <c r="S34" s="5">
        <f t="shared" si="2"/>
        <v>7.43</v>
      </c>
      <c r="T34" s="23">
        <f>('Investor-Inputs'!$G$19 * Q34) + ('Investor-Inputs'!$J$19 * R34) + ('Investor-Inputs'!$N$19 * S34)</f>
        <v>57.755000000000003</v>
      </c>
      <c r="U34" s="27">
        <f t="shared" si="3"/>
        <v>244</v>
      </c>
    </row>
    <row r="35" spans="3:21" x14ac:dyDescent="0.25">
      <c r="C35" s="2" t="s">
        <v>48</v>
      </c>
      <c r="D35" s="2">
        <v>4</v>
      </c>
      <c r="E35" s="2" t="s">
        <v>14</v>
      </c>
      <c r="F35" s="2" t="s">
        <v>15</v>
      </c>
      <c r="G35" s="3">
        <v>1.28</v>
      </c>
      <c r="H35" s="3">
        <v>-4.43</v>
      </c>
      <c r="I35" s="3">
        <v>15.01</v>
      </c>
      <c r="J35" s="3">
        <v>7.07</v>
      </c>
      <c r="K35" s="2"/>
      <c r="L35" s="20"/>
      <c r="M35" s="3">
        <v>2.63</v>
      </c>
      <c r="N35" s="2" t="s">
        <v>16</v>
      </c>
      <c r="O35" s="4" t="s">
        <v>17</v>
      </c>
      <c r="P35" s="18" t="s">
        <v>18</v>
      </c>
      <c r="Q35" s="5">
        <f t="shared" si="1"/>
        <v>6.0040000000000004</v>
      </c>
      <c r="R35" s="5">
        <f t="shared" si="0"/>
        <v>3.5350000000000001</v>
      </c>
      <c r="S35" s="5">
        <f t="shared" si="2"/>
        <v>1.3149999999999999</v>
      </c>
      <c r="T35" s="23">
        <f>('Investor-Inputs'!$G$19 * Q35) + ('Investor-Inputs'!$J$19 * R35) + ('Investor-Inputs'!$N$19 * S35)</f>
        <v>26.397000000000002</v>
      </c>
      <c r="U35" s="27">
        <f t="shared" si="3"/>
        <v>566</v>
      </c>
    </row>
    <row r="36" spans="3:21" x14ac:dyDescent="0.25">
      <c r="C36" s="2" t="s">
        <v>49</v>
      </c>
      <c r="D36" s="2">
        <v>5</v>
      </c>
      <c r="E36" s="2" t="s">
        <v>14</v>
      </c>
      <c r="F36" s="2" t="s">
        <v>50</v>
      </c>
      <c r="G36" s="3">
        <v>9.77</v>
      </c>
      <c r="H36" s="3">
        <v>5.76</v>
      </c>
      <c r="I36" s="3">
        <v>23.13</v>
      </c>
      <c r="J36" s="3">
        <v>13.09</v>
      </c>
      <c r="K36" s="3">
        <v>19.12</v>
      </c>
      <c r="L36" s="21">
        <v>17.22</v>
      </c>
      <c r="M36" s="3">
        <v>2.9</v>
      </c>
      <c r="N36" s="2" t="s">
        <v>16</v>
      </c>
      <c r="O36" s="4" t="s">
        <v>28</v>
      </c>
      <c r="P36" s="18" t="s">
        <v>18</v>
      </c>
      <c r="Q36" s="5">
        <f t="shared" si="1"/>
        <v>18.812000000000001</v>
      </c>
      <c r="R36" s="5">
        <f t="shared" si="0"/>
        <v>15.154999999999999</v>
      </c>
      <c r="S36" s="5">
        <f t="shared" si="2"/>
        <v>11.01</v>
      </c>
      <c r="T36" s="23">
        <f>('Investor-Inputs'!$G$19 * Q36) + ('Investor-Inputs'!$J$19 * R36) + ('Investor-Inputs'!$N$19 * S36)</f>
        <v>97.756000000000014</v>
      </c>
      <c r="U36" s="27">
        <f t="shared" si="3"/>
        <v>53</v>
      </c>
    </row>
    <row r="37" spans="3:21" x14ac:dyDescent="0.25">
      <c r="C37" s="2" t="s">
        <v>51</v>
      </c>
      <c r="D37" s="2">
        <v>4</v>
      </c>
      <c r="E37" s="2" t="s">
        <v>14</v>
      </c>
      <c r="F37" s="2" t="s">
        <v>50</v>
      </c>
      <c r="G37" s="3">
        <v>1.71</v>
      </c>
      <c r="H37" s="3">
        <v>-3</v>
      </c>
      <c r="I37" s="3">
        <v>18.399999999999999</v>
      </c>
      <c r="J37" s="3">
        <v>8.3000000000000007</v>
      </c>
      <c r="K37" s="3">
        <v>15.02</v>
      </c>
      <c r="L37" s="21">
        <v>12.74</v>
      </c>
      <c r="M37" s="3">
        <v>2.12</v>
      </c>
      <c r="N37" s="2" t="s">
        <v>16</v>
      </c>
      <c r="O37" s="4" t="s">
        <v>17</v>
      </c>
      <c r="P37" s="18" t="s">
        <v>18</v>
      </c>
      <c r="Q37" s="5">
        <f t="shared" si="1"/>
        <v>14.87</v>
      </c>
      <c r="R37" s="5">
        <f t="shared" si="0"/>
        <v>10.52</v>
      </c>
      <c r="S37" s="5">
        <f t="shared" si="2"/>
        <v>8.57</v>
      </c>
      <c r="T37" s="23">
        <f>('Investor-Inputs'!$G$19 * Q37) + ('Investor-Inputs'!$J$19 * R37) + ('Investor-Inputs'!$N$19 * S37)</f>
        <v>74.22</v>
      </c>
      <c r="U37" s="27">
        <f t="shared" si="3"/>
        <v>166</v>
      </c>
    </row>
    <row r="38" spans="3:21" x14ac:dyDescent="0.25">
      <c r="C38" s="2" t="s">
        <v>52</v>
      </c>
      <c r="D38" s="2">
        <v>4</v>
      </c>
      <c r="E38" s="2" t="s">
        <v>14</v>
      </c>
      <c r="F38" s="2" t="s">
        <v>50</v>
      </c>
      <c r="G38" s="3">
        <v>3.83</v>
      </c>
      <c r="H38" s="3">
        <v>-2.27</v>
      </c>
      <c r="I38" s="3">
        <v>17.899999999999999</v>
      </c>
      <c r="J38" s="3">
        <v>7.49</v>
      </c>
      <c r="K38" s="3">
        <v>17.559999999999999</v>
      </c>
      <c r="L38" s="21">
        <v>13.3</v>
      </c>
      <c r="M38" s="3">
        <v>1.59</v>
      </c>
      <c r="N38" s="2" t="s">
        <v>16</v>
      </c>
      <c r="O38" s="4" t="s">
        <v>17</v>
      </c>
      <c r="P38" s="18" t="s">
        <v>18</v>
      </c>
      <c r="Q38" s="5">
        <f t="shared" si="1"/>
        <v>15.94</v>
      </c>
      <c r="R38" s="5">
        <f t="shared" si="0"/>
        <v>10.395</v>
      </c>
      <c r="S38" s="5">
        <f t="shared" si="2"/>
        <v>9.5749999999999993</v>
      </c>
      <c r="T38" s="23">
        <f>('Investor-Inputs'!$G$19 * Q38) + ('Investor-Inputs'!$J$19 * R38) + ('Investor-Inputs'!$N$19 * S38)</f>
        <v>78.185000000000002</v>
      </c>
      <c r="U38" s="27">
        <f t="shared" si="3"/>
        <v>142</v>
      </c>
    </row>
    <row r="39" spans="3:21" x14ac:dyDescent="0.25">
      <c r="C39" s="2" t="s">
        <v>53</v>
      </c>
      <c r="D39" s="2">
        <v>5</v>
      </c>
      <c r="E39" s="2" t="s">
        <v>14</v>
      </c>
      <c r="F39" s="2" t="s">
        <v>50</v>
      </c>
      <c r="G39" s="3">
        <v>4.76</v>
      </c>
      <c r="H39" s="3">
        <v>-0.1</v>
      </c>
      <c r="I39" s="3">
        <v>19.510000000000002</v>
      </c>
      <c r="J39" s="3">
        <v>10.55</v>
      </c>
      <c r="K39" s="3">
        <v>19.350000000000001</v>
      </c>
      <c r="L39" s="21">
        <v>15.25</v>
      </c>
      <c r="M39" s="3">
        <v>2.3199999999999998</v>
      </c>
      <c r="N39" s="2" t="s">
        <v>16</v>
      </c>
      <c r="O39" s="4" t="s">
        <v>17</v>
      </c>
      <c r="P39" s="18" t="s">
        <v>18</v>
      </c>
      <c r="Q39" s="5">
        <f t="shared" si="1"/>
        <v>17.479000000000003</v>
      </c>
      <c r="R39" s="5">
        <f t="shared" si="0"/>
        <v>12.9</v>
      </c>
      <c r="S39" s="5">
        <f t="shared" si="2"/>
        <v>10.835000000000001</v>
      </c>
      <c r="T39" s="23">
        <f>('Investor-Inputs'!$G$19 * Q39) + ('Investor-Inputs'!$J$19 * R39) + ('Investor-Inputs'!$N$19 * S39)</f>
        <v>89.072000000000003</v>
      </c>
      <c r="U39" s="27">
        <f t="shared" si="3"/>
        <v>83</v>
      </c>
    </row>
    <row r="40" spans="3:21" x14ac:dyDescent="0.25">
      <c r="C40" s="2" t="s">
        <v>54</v>
      </c>
      <c r="D40" s="2">
        <v>4</v>
      </c>
      <c r="E40" s="2" t="s">
        <v>14</v>
      </c>
      <c r="F40" s="2" t="s">
        <v>50</v>
      </c>
      <c r="G40" s="3">
        <v>8.69</v>
      </c>
      <c r="H40" s="3">
        <v>0.98</v>
      </c>
      <c r="I40" s="3">
        <v>23.14</v>
      </c>
      <c r="J40" s="3">
        <v>13.51</v>
      </c>
      <c r="K40" s="3">
        <v>17.71</v>
      </c>
      <c r="L40" s="21">
        <v>16.59</v>
      </c>
      <c r="M40" s="3">
        <v>1.9</v>
      </c>
      <c r="N40" s="2" t="s">
        <v>16</v>
      </c>
      <c r="O40" s="4" t="s">
        <v>28</v>
      </c>
      <c r="P40" s="18" t="s">
        <v>18</v>
      </c>
      <c r="Q40" s="5">
        <f t="shared" si="1"/>
        <v>18.111000000000001</v>
      </c>
      <c r="R40" s="5">
        <f t="shared" si="0"/>
        <v>15.05</v>
      </c>
      <c r="S40" s="5">
        <f t="shared" si="2"/>
        <v>9.8049999999999997</v>
      </c>
      <c r="T40" s="23">
        <f>('Investor-Inputs'!$G$19 * Q40) + ('Investor-Inputs'!$J$19 * R40) + ('Investor-Inputs'!$N$19 * S40)</f>
        <v>94.238</v>
      </c>
      <c r="U40" s="27">
        <f t="shared" si="3"/>
        <v>61</v>
      </c>
    </row>
    <row r="41" spans="3:21" x14ac:dyDescent="0.25">
      <c r="C41" s="2" t="s">
        <v>55</v>
      </c>
      <c r="D41" s="2">
        <v>4</v>
      </c>
      <c r="E41" s="2" t="s">
        <v>14</v>
      </c>
      <c r="F41" s="2" t="s">
        <v>50</v>
      </c>
      <c r="G41" s="3">
        <v>15.63</v>
      </c>
      <c r="H41" s="3">
        <v>9.31</v>
      </c>
      <c r="I41" s="3">
        <v>25.52</v>
      </c>
      <c r="J41" s="3">
        <v>15.88</v>
      </c>
      <c r="K41" s="3">
        <v>20.97</v>
      </c>
      <c r="L41" s="21">
        <v>19.38</v>
      </c>
      <c r="M41" s="3">
        <v>1.91</v>
      </c>
      <c r="N41" s="2" t="s">
        <v>16</v>
      </c>
      <c r="O41" s="4" t="s">
        <v>28</v>
      </c>
      <c r="P41" s="18" t="s">
        <v>18</v>
      </c>
      <c r="Q41" s="5">
        <f t="shared" si="1"/>
        <v>20.692999999999998</v>
      </c>
      <c r="R41" s="5">
        <f t="shared" si="0"/>
        <v>17.63</v>
      </c>
      <c r="S41" s="5">
        <f t="shared" si="2"/>
        <v>11.44</v>
      </c>
      <c r="T41" s="23">
        <f>('Investor-Inputs'!$G$19 * Q41) + ('Investor-Inputs'!$J$19 * R41) + ('Investor-Inputs'!$N$19 * S41)</f>
        <v>108.779</v>
      </c>
      <c r="U41" s="27">
        <f t="shared" si="3"/>
        <v>35</v>
      </c>
    </row>
    <row r="42" spans="3:21" x14ac:dyDescent="0.25">
      <c r="C42" s="2" t="s">
        <v>56</v>
      </c>
      <c r="D42" s="2">
        <v>4</v>
      </c>
      <c r="E42" s="2" t="s">
        <v>14</v>
      </c>
      <c r="F42" s="2" t="s">
        <v>50</v>
      </c>
      <c r="G42" s="3">
        <v>3.77</v>
      </c>
      <c r="H42" s="3">
        <v>-0.43</v>
      </c>
      <c r="I42" s="3">
        <v>19.32</v>
      </c>
      <c r="J42" s="3">
        <v>9.7200000000000006</v>
      </c>
      <c r="K42" s="3">
        <v>16.649999999999999</v>
      </c>
      <c r="L42" s="21">
        <v>13.98</v>
      </c>
      <c r="M42" s="3">
        <v>1.8</v>
      </c>
      <c r="N42" s="2" t="s">
        <v>16</v>
      </c>
      <c r="O42" s="4" t="s">
        <v>17</v>
      </c>
      <c r="P42" s="18" t="s">
        <v>18</v>
      </c>
      <c r="Q42" s="5">
        <f t="shared" si="1"/>
        <v>16.053000000000001</v>
      </c>
      <c r="R42" s="5">
        <f t="shared" si="0"/>
        <v>11.850000000000001</v>
      </c>
      <c r="S42" s="5">
        <f t="shared" si="2"/>
        <v>9.2249999999999996</v>
      </c>
      <c r="T42" s="23">
        <f>('Investor-Inputs'!$G$19 * Q42) + ('Investor-Inputs'!$J$19 * R42) + ('Investor-Inputs'!$N$19 * S42)</f>
        <v>81.084000000000003</v>
      </c>
      <c r="U42" s="27">
        <f t="shared" si="3"/>
        <v>124</v>
      </c>
    </row>
    <row r="43" spans="3:21" x14ac:dyDescent="0.25">
      <c r="C43" s="2" t="s">
        <v>57</v>
      </c>
      <c r="D43" s="2">
        <v>4</v>
      </c>
      <c r="E43" s="2" t="s">
        <v>14</v>
      </c>
      <c r="F43" s="2" t="s">
        <v>50</v>
      </c>
      <c r="G43" s="3">
        <v>7.36</v>
      </c>
      <c r="H43" s="3">
        <v>1</v>
      </c>
      <c r="I43" s="3">
        <v>16.09</v>
      </c>
      <c r="J43" s="3">
        <v>9.1</v>
      </c>
      <c r="K43" s="3">
        <v>16.53</v>
      </c>
      <c r="L43" s="21">
        <v>12.82</v>
      </c>
      <c r="M43" s="3">
        <v>1.72</v>
      </c>
      <c r="N43" s="2" t="s">
        <v>16</v>
      </c>
      <c r="O43" s="4" t="s">
        <v>24</v>
      </c>
      <c r="P43" s="18" t="s">
        <v>18</v>
      </c>
      <c r="Q43" s="5">
        <f t="shared" si="1"/>
        <v>14.701000000000001</v>
      </c>
      <c r="R43" s="5">
        <f t="shared" si="0"/>
        <v>10.96</v>
      </c>
      <c r="S43" s="5">
        <f t="shared" si="2"/>
        <v>9.125</v>
      </c>
      <c r="T43" s="23">
        <f>('Investor-Inputs'!$G$19 * Q43) + ('Investor-Inputs'!$J$19 * R43) + ('Investor-Inputs'!$N$19 * S43)</f>
        <v>75.147999999999996</v>
      </c>
      <c r="U43" s="27">
        <f t="shared" si="3"/>
        <v>156</v>
      </c>
    </row>
    <row r="44" spans="3:21" x14ac:dyDescent="0.25">
      <c r="C44" s="2" t="s">
        <v>58</v>
      </c>
      <c r="D44" s="2">
        <v>5</v>
      </c>
      <c r="E44" s="2" t="s">
        <v>14</v>
      </c>
      <c r="F44" s="2" t="s">
        <v>50</v>
      </c>
      <c r="G44" s="3">
        <v>6.37</v>
      </c>
      <c r="H44" s="3">
        <v>2.1</v>
      </c>
      <c r="I44" s="3">
        <v>20.12</v>
      </c>
      <c r="J44" s="3">
        <v>10.84</v>
      </c>
      <c r="K44" s="3">
        <v>17.61</v>
      </c>
      <c r="L44" s="21">
        <v>15.01</v>
      </c>
      <c r="M44" s="3">
        <v>1.85</v>
      </c>
      <c r="N44" s="2" t="s">
        <v>16</v>
      </c>
      <c r="O44" s="4" t="s">
        <v>17</v>
      </c>
      <c r="P44" s="18" t="s">
        <v>18</v>
      </c>
      <c r="Q44" s="5">
        <f t="shared" si="1"/>
        <v>16.853000000000002</v>
      </c>
      <c r="R44" s="5">
        <f t="shared" si="0"/>
        <v>12.925000000000001</v>
      </c>
      <c r="S44" s="5">
        <f t="shared" si="2"/>
        <v>9.73</v>
      </c>
      <c r="T44" s="23">
        <f>('Investor-Inputs'!$G$19 * Q44) + ('Investor-Inputs'!$J$19 * R44) + ('Investor-Inputs'!$N$19 * S44)</f>
        <v>86.13900000000001</v>
      </c>
      <c r="U44" s="27">
        <f t="shared" si="3"/>
        <v>106</v>
      </c>
    </row>
    <row r="45" spans="3:21" x14ac:dyDescent="0.25">
      <c r="C45" s="2" t="s">
        <v>59</v>
      </c>
      <c r="D45" s="2">
        <v>4</v>
      </c>
      <c r="E45" s="2" t="s">
        <v>14</v>
      </c>
      <c r="F45" s="2" t="s">
        <v>60</v>
      </c>
      <c r="G45" s="3">
        <v>6.66</v>
      </c>
      <c r="H45" s="3">
        <v>2.86</v>
      </c>
      <c r="I45" s="3">
        <v>17.36</v>
      </c>
      <c r="J45" s="3">
        <v>10.210000000000001</v>
      </c>
      <c r="K45" s="3">
        <v>13.7</v>
      </c>
      <c r="L45" s="21">
        <v>12.34</v>
      </c>
      <c r="M45" s="3">
        <v>1.6</v>
      </c>
      <c r="N45" s="2" t="s">
        <v>16</v>
      </c>
      <c r="O45" s="4" t="s">
        <v>17</v>
      </c>
      <c r="P45" s="18" t="s">
        <v>18</v>
      </c>
      <c r="Q45" s="5">
        <f t="shared" si="1"/>
        <v>13.794</v>
      </c>
      <c r="R45" s="5">
        <f t="shared" si="0"/>
        <v>11.275</v>
      </c>
      <c r="S45" s="5">
        <f t="shared" si="2"/>
        <v>7.6499999999999995</v>
      </c>
      <c r="T45" s="23">
        <f>('Investor-Inputs'!$G$19 * Q45) + ('Investor-Inputs'!$J$19 * R45) + ('Investor-Inputs'!$N$19 * S45)</f>
        <v>71.582000000000008</v>
      </c>
      <c r="U45" s="27">
        <f t="shared" si="3"/>
        <v>186</v>
      </c>
    </row>
    <row r="46" spans="3:21" x14ac:dyDescent="0.25">
      <c r="C46" s="2" t="s">
        <v>61</v>
      </c>
      <c r="D46" s="2">
        <v>4</v>
      </c>
      <c r="E46" s="2" t="s">
        <v>14</v>
      </c>
      <c r="F46" s="2" t="s">
        <v>60</v>
      </c>
      <c r="G46" s="3">
        <v>14.82</v>
      </c>
      <c r="H46" s="3">
        <v>11.25</v>
      </c>
      <c r="I46" s="3">
        <v>21.8</v>
      </c>
      <c r="J46" s="3">
        <v>12.44</v>
      </c>
      <c r="K46" s="3">
        <v>18.510000000000002</v>
      </c>
      <c r="L46" s="21">
        <v>16.03</v>
      </c>
      <c r="M46" s="3">
        <v>2.96</v>
      </c>
      <c r="N46" s="2" t="s">
        <v>16</v>
      </c>
      <c r="O46" s="4" t="s">
        <v>28</v>
      </c>
      <c r="P46" s="18" t="s">
        <v>18</v>
      </c>
      <c r="Q46" s="5">
        <f t="shared" si="1"/>
        <v>17.975000000000001</v>
      </c>
      <c r="R46" s="5">
        <f t="shared" si="0"/>
        <v>14.234999999999999</v>
      </c>
      <c r="S46" s="5">
        <f t="shared" si="2"/>
        <v>10.735000000000001</v>
      </c>
      <c r="T46" s="23">
        <f>('Investor-Inputs'!$G$19 * Q46) + ('Investor-Inputs'!$J$19 * R46) + ('Investor-Inputs'!$N$19 * S46)</f>
        <v>93.13000000000001</v>
      </c>
      <c r="U46" s="27">
        <f t="shared" si="3"/>
        <v>71</v>
      </c>
    </row>
    <row r="47" spans="3:21" x14ac:dyDescent="0.25">
      <c r="C47" s="2" t="s">
        <v>62</v>
      </c>
      <c r="D47" s="2">
        <v>4</v>
      </c>
      <c r="E47" s="2" t="s">
        <v>14</v>
      </c>
      <c r="F47" s="2" t="s">
        <v>60</v>
      </c>
      <c r="G47" s="3">
        <v>1.98</v>
      </c>
      <c r="H47" s="3">
        <v>-6.64</v>
      </c>
      <c r="I47" s="3">
        <v>14.93</v>
      </c>
      <c r="J47" s="3">
        <v>6.59</v>
      </c>
      <c r="K47" s="2"/>
      <c r="L47" s="20"/>
      <c r="M47" s="3">
        <v>2.09</v>
      </c>
      <c r="N47" s="2" t="s">
        <v>16</v>
      </c>
      <c r="O47" s="4" t="s">
        <v>24</v>
      </c>
      <c r="P47" s="18" t="s">
        <v>18</v>
      </c>
      <c r="Q47" s="5">
        <f t="shared" si="1"/>
        <v>5.9720000000000004</v>
      </c>
      <c r="R47" s="5">
        <f t="shared" si="0"/>
        <v>3.2949999999999999</v>
      </c>
      <c r="S47" s="5">
        <f t="shared" si="2"/>
        <v>1.0449999999999999</v>
      </c>
      <c r="T47" s="23">
        <f>('Investor-Inputs'!$G$19 * Q47) + ('Investor-Inputs'!$J$19 * R47) + ('Investor-Inputs'!$N$19 * S47)</f>
        <v>25.551000000000002</v>
      </c>
      <c r="U47" s="27">
        <f t="shared" si="3"/>
        <v>568</v>
      </c>
    </row>
    <row r="48" spans="3:21" x14ac:dyDescent="0.25">
      <c r="C48" s="2" t="s">
        <v>63</v>
      </c>
      <c r="D48" s="2">
        <v>4</v>
      </c>
      <c r="E48" s="2" t="s">
        <v>14</v>
      </c>
      <c r="F48" s="2" t="s">
        <v>60</v>
      </c>
      <c r="G48" s="3">
        <v>4.7300000000000004</v>
      </c>
      <c r="H48" s="3">
        <v>-0.41</v>
      </c>
      <c r="I48" s="3">
        <v>17.16</v>
      </c>
      <c r="J48" s="3">
        <v>8.5500000000000007</v>
      </c>
      <c r="K48" s="3">
        <v>15.17</v>
      </c>
      <c r="L48" s="21">
        <v>12.36</v>
      </c>
      <c r="M48" s="3">
        <v>1.92</v>
      </c>
      <c r="N48" s="2" t="s">
        <v>16</v>
      </c>
      <c r="O48" s="4" t="s">
        <v>17</v>
      </c>
      <c r="P48" s="18" t="s">
        <v>18</v>
      </c>
      <c r="Q48" s="5">
        <f t="shared" si="1"/>
        <v>14.449000000000002</v>
      </c>
      <c r="R48" s="5">
        <f t="shared" si="0"/>
        <v>10.455</v>
      </c>
      <c r="S48" s="5">
        <f t="shared" si="2"/>
        <v>8.5449999999999999</v>
      </c>
      <c r="T48" s="23">
        <f>('Investor-Inputs'!$G$19 * Q48) + ('Investor-Inputs'!$J$19 * R48) + ('Investor-Inputs'!$N$19 * S48)</f>
        <v>72.802000000000007</v>
      </c>
      <c r="U48" s="27">
        <f t="shared" si="3"/>
        <v>178</v>
      </c>
    </row>
    <row r="49" spans="3:21" x14ac:dyDescent="0.25">
      <c r="C49" s="2" t="s">
        <v>64</v>
      </c>
      <c r="D49" s="2">
        <v>4</v>
      </c>
      <c r="E49" s="2" t="s">
        <v>14</v>
      </c>
      <c r="F49" s="2" t="s">
        <v>60</v>
      </c>
      <c r="G49" s="3">
        <v>2.37</v>
      </c>
      <c r="H49" s="3">
        <v>-2.2400000000000002</v>
      </c>
      <c r="I49" s="3">
        <v>15.37</v>
      </c>
      <c r="J49" s="3">
        <v>6.9</v>
      </c>
      <c r="K49" s="2"/>
      <c r="L49" s="20"/>
      <c r="M49" s="3">
        <v>2.23</v>
      </c>
      <c r="N49" s="2" t="s">
        <v>16</v>
      </c>
      <c r="O49" s="4" t="s">
        <v>17</v>
      </c>
      <c r="P49" s="18" t="s">
        <v>18</v>
      </c>
      <c r="Q49" s="5">
        <f t="shared" si="1"/>
        <v>6.1479999999999997</v>
      </c>
      <c r="R49" s="5">
        <f t="shared" si="0"/>
        <v>3.45</v>
      </c>
      <c r="S49" s="5">
        <f t="shared" si="2"/>
        <v>1.115</v>
      </c>
      <c r="T49" s="23">
        <f>('Investor-Inputs'!$G$19 * Q49) + ('Investor-Inputs'!$J$19 * R49) + ('Investor-Inputs'!$N$19 * S49)</f>
        <v>26.459</v>
      </c>
      <c r="U49" s="27">
        <f t="shared" si="3"/>
        <v>564</v>
      </c>
    </row>
    <row r="50" spans="3:21" x14ac:dyDescent="0.25">
      <c r="C50" s="2" t="s">
        <v>65</v>
      </c>
      <c r="D50" s="2">
        <v>4</v>
      </c>
      <c r="E50" s="2" t="s">
        <v>14</v>
      </c>
      <c r="F50" s="2" t="s">
        <v>60</v>
      </c>
      <c r="G50" s="3">
        <v>-1.39</v>
      </c>
      <c r="H50" s="3">
        <v>-6.27</v>
      </c>
      <c r="I50" s="3">
        <v>16</v>
      </c>
      <c r="J50" s="3">
        <v>5.83</v>
      </c>
      <c r="K50" s="3">
        <v>15.39</v>
      </c>
      <c r="L50" s="21">
        <v>11.21</v>
      </c>
      <c r="M50" s="3">
        <v>1.71</v>
      </c>
      <c r="N50" s="2" t="s">
        <v>16</v>
      </c>
      <c r="O50" s="4" t="s">
        <v>17</v>
      </c>
      <c r="P50" s="18" t="s">
        <v>18</v>
      </c>
      <c r="Q50" s="5">
        <f t="shared" si="1"/>
        <v>14.095000000000001</v>
      </c>
      <c r="R50" s="5">
        <f t="shared" si="0"/>
        <v>8.52</v>
      </c>
      <c r="S50" s="5">
        <f t="shared" si="2"/>
        <v>8.5500000000000007</v>
      </c>
      <c r="T50" s="23">
        <f>('Investor-Inputs'!$G$19 * Q50) + ('Investor-Inputs'!$J$19 * R50) + ('Investor-Inputs'!$N$19 * S50)</f>
        <v>67.875</v>
      </c>
      <c r="U50" s="27">
        <f t="shared" si="3"/>
        <v>198</v>
      </c>
    </row>
    <row r="51" spans="3:21" x14ac:dyDescent="0.25">
      <c r="C51" s="2" t="s">
        <v>66</v>
      </c>
      <c r="D51" s="2">
        <v>4</v>
      </c>
      <c r="E51" s="2" t="s">
        <v>14</v>
      </c>
      <c r="F51" s="2" t="s">
        <v>60</v>
      </c>
      <c r="G51" s="3">
        <v>-2.84</v>
      </c>
      <c r="H51" s="3">
        <v>-9.8699999999999992</v>
      </c>
      <c r="I51" s="3">
        <v>13.16</v>
      </c>
      <c r="J51" s="3">
        <v>3.34</v>
      </c>
      <c r="K51" s="3">
        <v>13.83</v>
      </c>
      <c r="L51" s="21">
        <v>8.99</v>
      </c>
      <c r="M51" s="3">
        <v>1.88</v>
      </c>
      <c r="N51" s="2" t="s">
        <v>16</v>
      </c>
      <c r="O51" s="4" t="s">
        <v>24</v>
      </c>
      <c r="P51" s="18" t="s">
        <v>18</v>
      </c>
      <c r="Q51" s="5">
        <f t="shared" si="1"/>
        <v>12.179</v>
      </c>
      <c r="R51" s="5">
        <f t="shared" si="0"/>
        <v>6.165</v>
      </c>
      <c r="S51" s="5">
        <f t="shared" si="2"/>
        <v>7.8550000000000004</v>
      </c>
      <c r="T51" s="23">
        <f>('Investor-Inputs'!$G$19 * Q51) + ('Investor-Inputs'!$J$19 * R51) + ('Investor-Inputs'!$N$19 * S51)</f>
        <v>56.721999999999994</v>
      </c>
      <c r="U51" s="27">
        <f t="shared" si="3"/>
        <v>250</v>
      </c>
    </row>
    <row r="52" spans="3:21" x14ac:dyDescent="0.25">
      <c r="C52" s="2" t="s">
        <v>67</v>
      </c>
      <c r="D52" s="2">
        <v>5</v>
      </c>
      <c r="E52" s="2" t="s">
        <v>14</v>
      </c>
      <c r="F52" s="2" t="s">
        <v>60</v>
      </c>
      <c r="G52" s="3">
        <v>1.23</v>
      </c>
      <c r="H52" s="3">
        <v>-4.6399999999999997</v>
      </c>
      <c r="I52" s="3">
        <v>18.760000000000002</v>
      </c>
      <c r="J52" s="3">
        <v>9.6199999999999992</v>
      </c>
      <c r="K52" s="3">
        <v>19.54</v>
      </c>
      <c r="L52" s="21">
        <v>15.3</v>
      </c>
      <c r="M52" s="3">
        <v>1.27</v>
      </c>
      <c r="N52" s="2" t="s">
        <v>16</v>
      </c>
      <c r="O52" s="4" t="s">
        <v>28</v>
      </c>
      <c r="P52" s="18" t="s">
        <v>18</v>
      </c>
      <c r="Q52" s="5">
        <f t="shared" si="1"/>
        <v>17.274000000000001</v>
      </c>
      <c r="R52" s="5">
        <f t="shared" si="0"/>
        <v>12.46</v>
      </c>
      <c r="S52" s="5">
        <f t="shared" si="2"/>
        <v>10.404999999999999</v>
      </c>
      <c r="T52" s="23">
        <f>('Investor-Inputs'!$G$19 * Q52) + ('Investor-Inputs'!$J$19 * R52) + ('Investor-Inputs'!$N$19 * S52)</f>
        <v>87.147000000000006</v>
      </c>
      <c r="U52" s="27">
        <f t="shared" si="3"/>
        <v>93</v>
      </c>
    </row>
    <row r="53" spans="3:21" x14ac:dyDescent="0.25">
      <c r="C53" s="2" t="s">
        <v>68</v>
      </c>
      <c r="D53" s="2">
        <v>5</v>
      </c>
      <c r="E53" s="2" t="s">
        <v>14</v>
      </c>
      <c r="F53" s="2" t="s">
        <v>60</v>
      </c>
      <c r="G53" s="3">
        <v>0.44</v>
      </c>
      <c r="H53" s="3">
        <v>-6.25</v>
      </c>
      <c r="I53" s="3">
        <v>17.86</v>
      </c>
      <c r="J53" s="3">
        <v>8.8800000000000008</v>
      </c>
      <c r="K53" s="3">
        <v>20.23</v>
      </c>
      <c r="L53" s="21">
        <v>15.12</v>
      </c>
      <c r="M53" s="3">
        <v>1.6</v>
      </c>
      <c r="N53" s="2" t="s">
        <v>16</v>
      </c>
      <c r="O53" s="4" t="s">
        <v>28</v>
      </c>
      <c r="P53" s="18" t="s">
        <v>18</v>
      </c>
      <c r="Q53" s="5">
        <f t="shared" si="1"/>
        <v>17.259</v>
      </c>
      <c r="R53" s="5">
        <f t="shared" si="0"/>
        <v>12</v>
      </c>
      <c r="S53" s="5">
        <f t="shared" si="2"/>
        <v>10.915000000000001</v>
      </c>
      <c r="T53" s="23">
        <f>('Investor-Inputs'!$G$19 * Q53) + ('Investor-Inputs'!$J$19 * R53) + ('Investor-Inputs'!$N$19 * S53)</f>
        <v>86.692000000000007</v>
      </c>
      <c r="U53" s="27">
        <f t="shared" si="3"/>
        <v>96</v>
      </c>
    </row>
    <row r="54" spans="3:21" x14ac:dyDescent="0.25">
      <c r="C54" s="2" t="s">
        <v>69</v>
      </c>
      <c r="D54" s="2">
        <v>4</v>
      </c>
      <c r="E54" s="2" t="s">
        <v>14</v>
      </c>
      <c r="F54" s="2" t="s">
        <v>60</v>
      </c>
      <c r="G54" s="3">
        <v>-1.51</v>
      </c>
      <c r="H54" s="3">
        <v>-7.69</v>
      </c>
      <c r="I54" s="3">
        <v>13.6</v>
      </c>
      <c r="J54" s="3">
        <v>4.2300000000000004</v>
      </c>
      <c r="K54" s="3">
        <v>15.97</v>
      </c>
      <c r="L54" s="21">
        <v>10.71</v>
      </c>
      <c r="M54" s="3">
        <v>1.83</v>
      </c>
      <c r="N54" s="2" t="s">
        <v>16</v>
      </c>
      <c r="O54" s="4" t="s">
        <v>24</v>
      </c>
      <c r="P54" s="18" t="s">
        <v>18</v>
      </c>
      <c r="Q54" s="5">
        <f t="shared" si="1"/>
        <v>13.425000000000001</v>
      </c>
      <c r="R54" s="5">
        <f t="shared" si="0"/>
        <v>7.4700000000000006</v>
      </c>
      <c r="S54" s="5">
        <f t="shared" si="2"/>
        <v>8.9</v>
      </c>
      <c r="T54" s="23">
        <f>('Investor-Inputs'!$G$19 * Q54) + ('Investor-Inputs'!$J$19 * R54) + ('Investor-Inputs'!$N$19 * S54)</f>
        <v>64.115000000000009</v>
      </c>
      <c r="U54" s="27">
        <f t="shared" si="3"/>
        <v>214</v>
      </c>
    </row>
    <row r="55" spans="3:21" x14ac:dyDescent="0.25">
      <c r="C55" s="2" t="s">
        <v>70</v>
      </c>
      <c r="D55" s="2">
        <v>4</v>
      </c>
      <c r="E55" s="2" t="s">
        <v>14</v>
      </c>
      <c r="F55" s="2" t="s">
        <v>60</v>
      </c>
      <c r="G55" s="3">
        <v>8.0500000000000007</v>
      </c>
      <c r="H55" s="3">
        <v>3.56</v>
      </c>
      <c r="I55" s="3">
        <v>18.27</v>
      </c>
      <c r="J55" s="3">
        <v>9.9700000000000006</v>
      </c>
      <c r="K55" s="3">
        <v>15.49</v>
      </c>
      <c r="L55" s="21">
        <v>13.23</v>
      </c>
      <c r="M55" s="3">
        <v>2.2999999999999998</v>
      </c>
      <c r="N55" s="2" t="s">
        <v>16</v>
      </c>
      <c r="O55" s="4" t="s">
        <v>17</v>
      </c>
      <c r="P55" s="18" t="s">
        <v>18</v>
      </c>
      <c r="Q55" s="5">
        <f t="shared" si="1"/>
        <v>15.053000000000001</v>
      </c>
      <c r="R55" s="5">
        <f t="shared" si="0"/>
        <v>11.600000000000001</v>
      </c>
      <c r="S55" s="5">
        <f t="shared" si="2"/>
        <v>8.8949999999999996</v>
      </c>
      <c r="T55" s="23">
        <f>('Investor-Inputs'!$G$19 * Q55) + ('Investor-Inputs'!$J$19 * R55) + ('Investor-Inputs'!$N$19 * S55)</f>
        <v>77.254000000000005</v>
      </c>
      <c r="U55" s="27">
        <f t="shared" si="3"/>
        <v>148</v>
      </c>
    </row>
    <row r="56" spans="3:21" x14ac:dyDescent="0.25">
      <c r="C56" s="2" t="s">
        <v>71</v>
      </c>
      <c r="D56" s="2">
        <v>5</v>
      </c>
      <c r="E56" s="2" t="s">
        <v>14</v>
      </c>
      <c r="F56" s="2" t="s">
        <v>60</v>
      </c>
      <c r="G56" s="3">
        <v>2.85</v>
      </c>
      <c r="H56" s="3">
        <v>-0.6</v>
      </c>
      <c r="I56" s="3">
        <v>18.97</v>
      </c>
      <c r="J56" s="3">
        <v>9.6999999999999993</v>
      </c>
      <c r="K56" s="3">
        <v>17.79</v>
      </c>
      <c r="L56" s="21">
        <v>14.33</v>
      </c>
      <c r="M56" s="3">
        <v>0.98</v>
      </c>
      <c r="N56" s="2" t="s">
        <v>16</v>
      </c>
      <c r="O56" s="4" t="s">
        <v>28</v>
      </c>
      <c r="P56" s="18" t="s">
        <v>18</v>
      </c>
      <c r="Q56" s="5">
        <f t="shared" si="1"/>
        <v>16.483000000000001</v>
      </c>
      <c r="R56" s="5">
        <f t="shared" si="0"/>
        <v>12.015000000000001</v>
      </c>
      <c r="S56" s="5">
        <f t="shared" si="2"/>
        <v>9.3849999999999998</v>
      </c>
      <c r="T56" s="23">
        <f>('Investor-Inputs'!$G$19 * Q56) + ('Investor-Inputs'!$J$19 * R56) + ('Investor-Inputs'!$N$19 * S56)</f>
        <v>82.864000000000004</v>
      </c>
      <c r="U56" s="27">
        <f t="shared" si="3"/>
        <v>118</v>
      </c>
    </row>
    <row r="57" spans="3:21" x14ac:dyDescent="0.25">
      <c r="C57" s="2" t="s">
        <v>72</v>
      </c>
      <c r="D57" s="2">
        <v>4</v>
      </c>
      <c r="E57" s="2" t="s">
        <v>14</v>
      </c>
      <c r="F57" s="2" t="s">
        <v>60</v>
      </c>
      <c r="G57" s="3">
        <v>7.85</v>
      </c>
      <c r="H57" s="3">
        <v>0.06</v>
      </c>
      <c r="I57" s="3">
        <v>17.489999999999998</v>
      </c>
      <c r="J57" s="3">
        <v>9.1</v>
      </c>
      <c r="K57" s="2"/>
      <c r="L57" s="20"/>
      <c r="M57" s="3">
        <v>1.77</v>
      </c>
      <c r="N57" s="2" t="s">
        <v>16</v>
      </c>
      <c r="O57" s="4" t="s">
        <v>17</v>
      </c>
      <c r="P57" s="18" t="s">
        <v>18</v>
      </c>
      <c r="Q57" s="5">
        <f t="shared" si="1"/>
        <v>6.9959999999999996</v>
      </c>
      <c r="R57" s="5">
        <f t="shared" si="0"/>
        <v>4.55</v>
      </c>
      <c r="S57" s="5">
        <f t="shared" si="2"/>
        <v>0.88500000000000001</v>
      </c>
      <c r="T57" s="23">
        <f>('Investor-Inputs'!$G$19 * Q57) + ('Investor-Inputs'!$J$19 * R57) + ('Investor-Inputs'!$N$19 * S57)</f>
        <v>30.973000000000003</v>
      </c>
      <c r="U57" s="27">
        <f t="shared" si="3"/>
        <v>510</v>
      </c>
    </row>
    <row r="58" spans="3:21" x14ac:dyDescent="0.25">
      <c r="C58" s="2" t="s">
        <v>73</v>
      </c>
      <c r="D58" s="2">
        <v>5</v>
      </c>
      <c r="E58" s="2" t="s">
        <v>14</v>
      </c>
      <c r="F58" s="2" t="s">
        <v>60</v>
      </c>
      <c r="G58" s="3">
        <v>3.28</v>
      </c>
      <c r="H58" s="3">
        <v>-3.63</v>
      </c>
      <c r="I58" s="3">
        <v>19.91</v>
      </c>
      <c r="J58" s="3">
        <v>10.72</v>
      </c>
      <c r="K58" s="3">
        <v>17.899999999999999</v>
      </c>
      <c r="L58" s="21">
        <v>14.94</v>
      </c>
      <c r="M58" s="3">
        <v>2.37</v>
      </c>
      <c r="N58" s="2" t="s">
        <v>16</v>
      </c>
      <c r="O58" s="4" t="s">
        <v>28</v>
      </c>
      <c r="P58" s="18" t="s">
        <v>18</v>
      </c>
      <c r="Q58" s="5">
        <f t="shared" si="1"/>
        <v>16.914000000000001</v>
      </c>
      <c r="R58" s="5">
        <f t="shared" si="0"/>
        <v>12.83</v>
      </c>
      <c r="S58" s="5">
        <f t="shared" si="2"/>
        <v>10.135</v>
      </c>
      <c r="T58" s="23">
        <f>('Investor-Inputs'!$G$19 * Q58) + ('Investor-Inputs'!$J$19 * R58) + ('Investor-Inputs'!$N$19 * S58)</f>
        <v>86.537000000000006</v>
      </c>
      <c r="U58" s="27">
        <f t="shared" si="3"/>
        <v>100</v>
      </c>
    </row>
    <row r="59" spans="3:21" x14ac:dyDescent="0.25">
      <c r="C59" s="2" t="s">
        <v>74</v>
      </c>
      <c r="D59" s="2">
        <v>5</v>
      </c>
      <c r="E59" s="2" t="s">
        <v>14</v>
      </c>
      <c r="F59" s="2" t="s">
        <v>60</v>
      </c>
      <c r="G59" s="3">
        <v>16.829999999999998</v>
      </c>
      <c r="H59" s="3">
        <v>10.82</v>
      </c>
      <c r="I59" s="3">
        <v>24.99</v>
      </c>
      <c r="J59" s="3">
        <v>16.190000000000001</v>
      </c>
      <c r="K59" s="3">
        <v>22.43</v>
      </c>
      <c r="L59" s="21">
        <v>19.21</v>
      </c>
      <c r="M59" s="3">
        <v>2.09</v>
      </c>
      <c r="N59" s="2" t="s">
        <v>16</v>
      </c>
      <c r="O59" s="4" t="s">
        <v>28</v>
      </c>
      <c r="P59" s="18" t="s">
        <v>18</v>
      </c>
      <c r="Q59" s="5">
        <f t="shared" si="1"/>
        <v>21.210999999999999</v>
      </c>
      <c r="R59" s="5">
        <f t="shared" si="0"/>
        <v>17.700000000000003</v>
      </c>
      <c r="S59" s="5">
        <f t="shared" si="2"/>
        <v>12.26</v>
      </c>
      <c r="T59" s="23">
        <f>('Investor-Inputs'!$G$19 * Q59) + ('Investor-Inputs'!$J$19 * R59) + ('Investor-Inputs'!$N$19 * S59)</f>
        <v>111.29300000000001</v>
      </c>
      <c r="U59" s="27">
        <f t="shared" si="3"/>
        <v>27</v>
      </c>
    </row>
    <row r="60" spans="3:21" x14ac:dyDescent="0.25">
      <c r="C60" s="2" t="s">
        <v>75</v>
      </c>
      <c r="D60" s="2">
        <v>4</v>
      </c>
      <c r="E60" s="2" t="s">
        <v>14</v>
      </c>
      <c r="F60" s="2" t="s">
        <v>60</v>
      </c>
      <c r="G60" s="3">
        <v>1.78</v>
      </c>
      <c r="H60" s="3">
        <v>-6.19</v>
      </c>
      <c r="I60" s="3">
        <v>18.68</v>
      </c>
      <c r="J60" s="3">
        <v>7.97</v>
      </c>
      <c r="K60" s="2"/>
      <c r="L60" s="20"/>
      <c r="M60" s="3">
        <v>1.86</v>
      </c>
      <c r="N60" s="2" t="s">
        <v>16</v>
      </c>
      <c r="O60" s="4" t="s">
        <v>28</v>
      </c>
      <c r="P60" s="18" t="s">
        <v>18</v>
      </c>
      <c r="Q60" s="5">
        <f t="shared" si="1"/>
        <v>7.4720000000000004</v>
      </c>
      <c r="R60" s="5">
        <f t="shared" si="0"/>
        <v>3.9849999999999999</v>
      </c>
      <c r="S60" s="5">
        <f t="shared" si="2"/>
        <v>0.93</v>
      </c>
      <c r="T60" s="23">
        <f>('Investor-Inputs'!$G$19 * Q60) + ('Investor-Inputs'!$J$19 * R60) + ('Investor-Inputs'!$N$19 * S60)</f>
        <v>31.315999999999999</v>
      </c>
      <c r="U60" s="27">
        <f t="shared" si="3"/>
        <v>508</v>
      </c>
    </row>
    <row r="61" spans="3:21" x14ac:dyDescent="0.25">
      <c r="C61" s="2" t="s">
        <v>76</v>
      </c>
      <c r="D61" s="2">
        <v>4</v>
      </c>
      <c r="E61" s="2" t="s">
        <v>14</v>
      </c>
      <c r="F61" s="2" t="s">
        <v>60</v>
      </c>
      <c r="G61" s="3">
        <v>-2.85</v>
      </c>
      <c r="H61" s="3">
        <v>-7.26</v>
      </c>
      <c r="I61" s="3">
        <v>21.28</v>
      </c>
      <c r="J61" s="3">
        <v>8.11</v>
      </c>
      <c r="K61" s="3">
        <v>15.82</v>
      </c>
      <c r="L61" s="21">
        <v>12.98</v>
      </c>
      <c r="M61" s="3">
        <v>1.89</v>
      </c>
      <c r="N61" s="2" t="s">
        <v>16</v>
      </c>
      <c r="O61" s="4" t="s">
        <v>17</v>
      </c>
      <c r="P61" s="18" t="s">
        <v>18</v>
      </c>
      <c r="Q61" s="5">
        <f t="shared" si="1"/>
        <v>16.422000000000001</v>
      </c>
      <c r="R61" s="5">
        <f t="shared" si="0"/>
        <v>10.545</v>
      </c>
      <c r="S61" s="5">
        <f t="shared" si="2"/>
        <v>8.8550000000000004</v>
      </c>
      <c r="T61" s="23">
        <f>('Investor-Inputs'!$G$19 * Q61) + ('Investor-Inputs'!$J$19 * R61) + ('Investor-Inputs'!$N$19 * S61)</f>
        <v>79.211000000000013</v>
      </c>
      <c r="U61" s="27">
        <f t="shared" si="3"/>
        <v>136</v>
      </c>
    </row>
    <row r="62" spans="3:21" x14ac:dyDescent="0.25">
      <c r="C62" s="2" t="s">
        <v>77</v>
      </c>
      <c r="D62" s="2">
        <v>4</v>
      </c>
      <c r="E62" s="2" t="s">
        <v>14</v>
      </c>
      <c r="F62" s="2" t="s">
        <v>60</v>
      </c>
      <c r="G62" s="3">
        <v>9.9700000000000006</v>
      </c>
      <c r="H62" s="3">
        <v>4.3899999999999997</v>
      </c>
      <c r="I62" s="3">
        <v>19.84</v>
      </c>
      <c r="J62" s="3">
        <v>10.02</v>
      </c>
      <c r="K62" s="2"/>
      <c r="L62" s="20"/>
      <c r="M62" s="3">
        <v>2.52</v>
      </c>
      <c r="N62" s="2" t="s">
        <v>16</v>
      </c>
      <c r="O62" s="4" t="s">
        <v>28</v>
      </c>
      <c r="P62" s="18" t="s">
        <v>18</v>
      </c>
      <c r="Q62" s="5">
        <f t="shared" si="1"/>
        <v>7.9359999999999999</v>
      </c>
      <c r="R62" s="5">
        <f t="shared" si="0"/>
        <v>5.01</v>
      </c>
      <c r="S62" s="5">
        <f t="shared" si="2"/>
        <v>1.26</v>
      </c>
      <c r="T62" s="23">
        <f>('Investor-Inputs'!$G$19 * Q62) + ('Investor-Inputs'!$J$19 * R62) + ('Investor-Inputs'!$N$19 * S62)</f>
        <v>35.088000000000001</v>
      </c>
      <c r="U62" s="27">
        <f t="shared" si="3"/>
        <v>391</v>
      </c>
    </row>
    <row r="63" spans="3:21" x14ac:dyDescent="0.25">
      <c r="C63" s="2" t="s">
        <v>78</v>
      </c>
      <c r="D63" s="2">
        <v>4</v>
      </c>
      <c r="E63" s="2" t="s">
        <v>14</v>
      </c>
      <c r="F63" s="2" t="s">
        <v>60</v>
      </c>
      <c r="G63" s="3">
        <v>-1.05</v>
      </c>
      <c r="H63" s="3">
        <v>-4.0199999999999996</v>
      </c>
      <c r="I63" s="3">
        <v>18.45</v>
      </c>
      <c r="J63" s="3">
        <v>5.13</v>
      </c>
      <c r="K63" s="3">
        <v>17.329999999999998</v>
      </c>
      <c r="L63" s="21">
        <v>12.93</v>
      </c>
      <c r="M63" s="3">
        <v>2.58</v>
      </c>
      <c r="N63" s="2" t="s">
        <v>16</v>
      </c>
      <c r="O63" s="4" t="s">
        <v>17</v>
      </c>
      <c r="P63" s="18" t="s">
        <v>18</v>
      </c>
      <c r="Q63" s="5">
        <f t="shared" si="1"/>
        <v>16.044999999999998</v>
      </c>
      <c r="R63" s="5">
        <f t="shared" si="0"/>
        <v>9.0299999999999994</v>
      </c>
      <c r="S63" s="5">
        <f t="shared" si="2"/>
        <v>9.9549999999999983</v>
      </c>
      <c r="T63" s="23">
        <f>('Investor-Inputs'!$G$19 * Q63) + ('Investor-Inputs'!$J$19 * R63) + ('Investor-Inputs'!$N$19 * S63)</f>
        <v>76.149999999999991</v>
      </c>
      <c r="U63" s="27">
        <f t="shared" si="3"/>
        <v>152</v>
      </c>
    </row>
    <row r="64" spans="3:21" x14ac:dyDescent="0.25">
      <c r="C64" s="2" t="s">
        <v>79</v>
      </c>
      <c r="D64" s="2">
        <v>4</v>
      </c>
      <c r="E64" s="2" t="s">
        <v>14</v>
      </c>
      <c r="F64" s="2" t="s">
        <v>60</v>
      </c>
      <c r="G64" s="3">
        <v>10</v>
      </c>
      <c r="H64" s="3">
        <v>2.92</v>
      </c>
      <c r="I64" s="3">
        <v>16.21</v>
      </c>
      <c r="J64" s="3">
        <v>9.9700000000000006</v>
      </c>
      <c r="K64" s="3">
        <v>14.22</v>
      </c>
      <c r="L64" s="21">
        <v>11.98</v>
      </c>
      <c r="M64" s="3">
        <v>2.29</v>
      </c>
      <c r="N64" s="2" t="s">
        <v>16</v>
      </c>
      <c r="O64" s="4" t="s">
        <v>24</v>
      </c>
      <c r="P64" s="18" t="s">
        <v>18</v>
      </c>
      <c r="Q64" s="5">
        <f t="shared" si="1"/>
        <v>13.594000000000001</v>
      </c>
      <c r="R64" s="5">
        <f t="shared" si="0"/>
        <v>10.975000000000001</v>
      </c>
      <c r="S64" s="5">
        <f t="shared" si="2"/>
        <v>8.2550000000000008</v>
      </c>
      <c r="T64" s="23">
        <f>('Investor-Inputs'!$G$19 * Q64) + ('Investor-Inputs'!$J$19 * R64) + ('Investor-Inputs'!$N$19 * S64)</f>
        <v>70.987000000000009</v>
      </c>
      <c r="U64" s="27">
        <f t="shared" si="3"/>
        <v>188</v>
      </c>
    </row>
    <row r="65" spans="3:21" x14ac:dyDescent="0.25">
      <c r="C65" s="2" t="s">
        <v>80</v>
      </c>
      <c r="D65" s="2">
        <v>4</v>
      </c>
      <c r="E65" s="2" t="s">
        <v>14</v>
      </c>
      <c r="F65" s="2" t="s">
        <v>60</v>
      </c>
      <c r="G65" s="3">
        <v>3.23</v>
      </c>
      <c r="H65" s="3">
        <v>1.2</v>
      </c>
      <c r="I65" s="3">
        <v>17.739999999999998</v>
      </c>
      <c r="J65" s="3">
        <v>8.67</v>
      </c>
      <c r="K65" s="3">
        <v>16.82</v>
      </c>
      <c r="L65" s="21">
        <v>13.34</v>
      </c>
      <c r="M65" s="3">
        <v>2.13</v>
      </c>
      <c r="N65" s="2" t="s">
        <v>16</v>
      </c>
      <c r="O65" s="4" t="s">
        <v>17</v>
      </c>
      <c r="P65" s="18" t="s">
        <v>18</v>
      </c>
      <c r="Q65" s="5">
        <f t="shared" si="1"/>
        <v>15.506</v>
      </c>
      <c r="R65" s="5">
        <f t="shared" si="0"/>
        <v>11.004999999999999</v>
      </c>
      <c r="S65" s="5">
        <f t="shared" si="2"/>
        <v>9.4749999999999996</v>
      </c>
      <c r="T65" s="23">
        <f>('Investor-Inputs'!$G$19 * Q65) + ('Investor-Inputs'!$J$19 * R65) + ('Investor-Inputs'!$N$19 * S65)</f>
        <v>78.002999999999986</v>
      </c>
      <c r="U65" s="27">
        <f t="shared" si="3"/>
        <v>144</v>
      </c>
    </row>
    <row r="66" spans="3:21" x14ac:dyDescent="0.25">
      <c r="C66" s="2" t="s">
        <v>81</v>
      </c>
      <c r="D66" s="2">
        <v>4</v>
      </c>
      <c r="E66" s="2" t="s">
        <v>14</v>
      </c>
      <c r="F66" s="2" t="s">
        <v>60</v>
      </c>
      <c r="G66" s="3">
        <v>2.2400000000000002</v>
      </c>
      <c r="H66" s="3">
        <v>-1.87</v>
      </c>
      <c r="I66" s="3">
        <v>16.010000000000002</v>
      </c>
      <c r="J66" s="3">
        <v>6.27</v>
      </c>
      <c r="K66" s="3">
        <v>14.3</v>
      </c>
      <c r="L66" s="21">
        <v>10.93</v>
      </c>
      <c r="M66" s="3">
        <v>2.09</v>
      </c>
      <c r="N66" s="2" t="s">
        <v>16</v>
      </c>
      <c r="O66" s="4" t="s">
        <v>17</v>
      </c>
      <c r="P66" s="18" t="s">
        <v>18</v>
      </c>
      <c r="Q66" s="5">
        <f t="shared" si="1"/>
        <v>13.554000000000002</v>
      </c>
      <c r="R66" s="5">
        <f t="shared" si="0"/>
        <v>8.6</v>
      </c>
      <c r="S66" s="5">
        <f t="shared" si="2"/>
        <v>8.1950000000000003</v>
      </c>
      <c r="T66" s="23">
        <f>('Investor-Inputs'!$G$19 * Q66) + ('Investor-Inputs'!$J$19 * R66) + ('Investor-Inputs'!$N$19 * S66)</f>
        <v>66.057000000000016</v>
      </c>
      <c r="U66" s="27">
        <f t="shared" si="3"/>
        <v>204</v>
      </c>
    </row>
    <row r="67" spans="3:21" x14ac:dyDescent="0.25">
      <c r="C67" s="2" t="s">
        <v>82</v>
      </c>
      <c r="D67" s="2">
        <v>5</v>
      </c>
      <c r="E67" s="2" t="s">
        <v>14</v>
      </c>
      <c r="F67" s="2" t="s">
        <v>60</v>
      </c>
      <c r="G67" s="3">
        <v>3.77</v>
      </c>
      <c r="H67" s="3">
        <v>-1.46</v>
      </c>
      <c r="I67" s="3">
        <v>16.829999999999998</v>
      </c>
      <c r="J67" s="3">
        <v>9.27</v>
      </c>
      <c r="K67" s="3">
        <v>15.85</v>
      </c>
      <c r="L67" s="21">
        <v>13.27</v>
      </c>
      <c r="M67" s="3">
        <v>1.36</v>
      </c>
      <c r="N67" s="2" t="s">
        <v>16</v>
      </c>
      <c r="O67" s="4" t="s">
        <v>17</v>
      </c>
      <c r="P67" s="18" t="s">
        <v>18</v>
      </c>
      <c r="Q67" s="5">
        <f t="shared" si="1"/>
        <v>14.657</v>
      </c>
      <c r="R67" s="5">
        <f t="shared" si="0"/>
        <v>11.27</v>
      </c>
      <c r="S67" s="5">
        <f t="shared" si="2"/>
        <v>8.6050000000000004</v>
      </c>
      <c r="T67" s="23">
        <f>('Investor-Inputs'!$G$19 * Q67) + ('Investor-Inputs'!$J$19 * R67) + ('Investor-Inputs'!$N$19 * S67)</f>
        <v>75.116</v>
      </c>
      <c r="U67" s="27">
        <f t="shared" si="3"/>
        <v>158</v>
      </c>
    </row>
    <row r="68" spans="3:21" x14ac:dyDescent="0.25">
      <c r="C68" s="2" t="s">
        <v>83</v>
      </c>
      <c r="D68" s="2">
        <v>4</v>
      </c>
      <c r="E68" s="2" t="s">
        <v>14</v>
      </c>
      <c r="F68" s="2" t="s">
        <v>60</v>
      </c>
      <c r="G68" s="3">
        <v>15.83</v>
      </c>
      <c r="H68" s="3">
        <v>15.25</v>
      </c>
      <c r="I68" s="3">
        <v>18.72</v>
      </c>
      <c r="J68" s="3">
        <v>14.78</v>
      </c>
      <c r="K68" s="3">
        <v>15.04</v>
      </c>
      <c r="L68" s="21">
        <v>14.29</v>
      </c>
      <c r="M68" s="3">
        <v>1.51</v>
      </c>
      <c r="N68" s="2" t="s">
        <v>16</v>
      </c>
      <c r="O68" s="4" t="s">
        <v>17</v>
      </c>
      <c r="P68" s="18" t="s">
        <v>18</v>
      </c>
      <c r="Q68" s="5">
        <f t="shared" si="1"/>
        <v>15.007999999999999</v>
      </c>
      <c r="R68" s="5">
        <f t="shared" si="0"/>
        <v>14.535</v>
      </c>
      <c r="S68" s="5">
        <f t="shared" si="2"/>
        <v>8.2750000000000004</v>
      </c>
      <c r="T68" s="23">
        <f>('Investor-Inputs'!$G$19 * Q68) + ('Investor-Inputs'!$J$19 * R68) + ('Investor-Inputs'!$N$19 * S68)</f>
        <v>82.369</v>
      </c>
      <c r="U68" s="27">
        <f t="shared" si="3"/>
        <v>122</v>
      </c>
    </row>
    <row r="69" spans="3:21" x14ac:dyDescent="0.25">
      <c r="C69" s="2" t="s">
        <v>84</v>
      </c>
      <c r="D69" s="2">
        <v>4</v>
      </c>
      <c r="E69" s="2" t="s">
        <v>14</v>
      </c>
      <c r="F69" s="2" t="s">
        <v>60</v>
      </c>
      <c r="G69" s="3">
        <v>7.5</v>
      </c>
      <c r="H69" s="3">
        <v>2.77</v>
      </c>
      <c r="I69" s="3">
        <v>16.7</v>
      </c>
      <c r="J69" s="3">
        <v>8.59</v>
      </c>
      <c r="K69" s="2"/>
      <c r="L69" s="20"/>
      <c r="M69" s="3">
        <v>2.42</v>
      </c>
      <c r="N69" s="2" t="s">
        <v>16</v>
      </c>
      <c r="O69" s="4" t="s">
        <v>17</v>
      </c>
      <c r="P69" s="18" t="s">
        <v>18</v>
      </c>
      <c r="Q69" s="5">
        <f t="shared" si="1"/>
        <v>6.68</v>
      </c>
      <c r="R69" s="5">
        <f t="shared" si="0"/>
        <v>4.2949999999999999</v>
      </c>
      <c r="S69" s="5">
        <f t="shared" si="2"/>
        <v>1.21</v>
      </c>
      <c r="T69" s="23">
        <f>('Investor-Inputs'!$G$19 * Q69) + ('Investor-Inputs'!$J$19 * R69) + ('Investor-Inputs'!$N$19 * S69)</f>
        <v>29.84</v>
      </c>
      <c r="U69" s="27">
        <f t="shared" si="3"/>
        <v>542</v>
      </c>
    </row>
    <row r="70" spans="3:21" x14ac:dyDescent="0.25">
      <c r="C70" s="2" t="s">
        <v>85</v>
      </c>
      <c r="D70" s="2">
        <v>4</v>
      </c>
      <c r="E70" s="2" t="s">
        <v>14</v>
      </c>
      <c r="F70" s="2" t="s">
        <v>60</v>
      </c>
      <c r="G70" s="3">
        <v>3.73</v>
      </c>
      <c r="H70" s="3">
        <v>-1.94</v>
      </c>
      <c r="I70" s="3">
        <v>17.63</v>
      </c>
      <c r="J70" s="3">
        <v>8.34</v>
      </c>
      <c r="K70" s="2"/>
      <c r="L70" s="20"/>
      <c r="M70" s="3">
        <v>1.92</v>
      </c>
      <c r="N70" s="2" t="s">
        <v>16</v>
      </c>
      <c r="O70" s="4" t="s">
        <v>17</v>
      </c>
      <c r="P70" s="18" t="s">
        <v>18</v>
      </c>
      <c r="Q70" s="5">
        <f t="shared" si="1"/>
        <v>7.0519999999999996</v>
      </c>
      <c r="R70" s="5">
        <f t="shared" si="0"/>
        <v>4.17</v>
      </c>
      <c r="S70" s="5">
        <f t="shared" si="2"/>
        <v>0.96</v>
      </c>
      <c r="T70" s="23">
        <f>('Investor-Inputs'!$G$19 * Q70) + ('Investor-Inputs'!$J$19 * R70) + ('Investor-Inputs'!$N$19 * S70)</f>
        <v>30.456</v>
      </c>
      <c r="U70" s="27">
        <f t="shared" si="3"/>
        <v>516</v>
      </c>
    </row>
    <row r="71" spans="3:21" x14ac:dyDescent="0.25">
      <c r="C71" s="2" t="s">
        <v>86</v>
      </c>
      <c r="D71" s="2">
        <v>5</v>
      </c>
      <c r="E71" s="2" t="s">
        <v>14</v>
      </c>
      <c r="F71" s="2" t="s">
        <v>87</v>
      </c>
      <c r="G71" s="3">
        <v>7.22</v>
      </c>
      <c r="H71" s="3">
        <v>1.24</v>
      </c>
      <c r="I71" s="3">
        <v>21.3</v>
      </c>
      <c r="J71" s="3">
        <v>10.81</v>
      </c>
      <c r="K71" s="2"/>
      <c r="L71" s="20"/>
      <c r="M71" s="3">
        <v>2.29</v>
      </c>
      <c r="N71" s="2" t="s">
        <v>16</v>
      </c>
      <c r="O71" s="4" t="s">
        <v>28</v>
      </c>
      <c r="P71" s="18" t="s">
        <v>18</v>
      </c>
      <c r="Q71" s="5">
        <f t="shared" si="1"/>
        <v>8.5200000000000014</v>
      </c>
      <c r="R71" s="5">
        <f t="shared" si="0"/>
        <v>5.4050000000000002</v>
      </c>
      <c r="S71" s="5">
        <f t="shared" si="2"/>
        <v>1.145</v>
      </c>
      <c r="T71" s="23">
        <f>('Investor-Inputs'!$G$19 * Q71) + ('Investor-Inputs'!$J$19 * R71) + ('Investor-Inputs'!$N$19 * S71)</f>
        <v>37.515000000000008</v>
      </c>
      <c r="U71" s="27">
        <f t="shared" si="3"/>
        <v>335</v>
      </c>
    </row>
    <row r="72" spans="3:21" x14ac:dyDescent="0.25">
      <c r="C72" s="2" t="s">
        <v>88</v>
      </c>
      <c r="D72" s="2">
        <v>4</v>
      </c>
      <c r="E72" s="2" t="s">
        <v>14</v>
      </c>
      <c r="F72" s="2" t="s">
        <v>87</v>
      </c>
      <c r="G72" s="3">
        <v>13.77</v>
      </c>
      <c r="H72" s="3">
        <v>10.51</v>
      </c>
      <c r="I72" s="3">
        <v>21.12</v>
      </c>
      <c r="J72" s="3">
        <v>12.49</v>
      </c>
      <c r="K72" s="2"/>
      <c r="L72" s="20"/>
      <c r="M72" s="3">
        <v>2.2400000000000002</v>
      </c>
      <c r="N72" s="2" t="s">
        <v>16</v>
      </c>
      <c r="O72" s="4" t="s">
        <v>17</v>
      </c>
      <c r="P72" s="18" t="s">
        <v>18</v>
      </c>
      <c r="Q72" s="5">
        <f t="shared" ref="Q72:Q135" si="4">I72*0.4+K72*0.5</f>
        <v>8.4480000000000004</v>
      </c>
      <c r="R72" s="5">
        <f t="shared" ref="R72:R135" si="5">(L72+J72)/2</f>
        <v>6.2450000000000001</v>
      </c>
      <c r="S72" s="5">
        <f t="shared" ref="S72:S135" si="6">(M72+K72)/2</f>
        <v>1.1200000000000001</v>
      </c>
      <c r="T72" s="23">
        <f>('Investor-Inputs'!$G$19 * Q72) + ('Investor-Inputs'!$J$19 * R72) + ('Investor-Inputs'!$N$19 * S72)</f>
        <v>38.954000000000001</v>
      </c>
      <c r="U72" s="27">
        <f t="shared" ref="U72:U135" si="7">_xlfn.RANK.EQ(T72,$T$7:$T$592,0)</f>
        <v>333</v>
      </c>
    </row>
    <row r="73" spans="3:21" x14ac:dyDescent="0.25">
      <c r="C73" s="2" t="s">
        <v>89</v>
      </c>
      <c r="D73" s="2">
        <v>4</v>
      </c>
      <c r="E73" s="2" t="s">
        <v>14</v>
      </c>
      <c r="F73" s="2" t="s">
        <v>87</v>
      </c>
      <c r="G73" s="3">
        <v>9.74</v>
      </c>
      <c r="H73" s="3">
        <v>5.17</v>
      </c>
      <c r="I73" s="3">
        <v>22.24</v>
      </c>
      <c r="J73" s="3">
        <v>11.16</v>
      </c>
      <c r="K73" s="2"/>
      <c r="L73" s="20"/>
      <c r="M73" s="3">
        <v>2.2200000000000002</v>
      </c>
      <c r="N73" s="2" t="s">
        <v>16</v>
      </c>
      <c r="O73" s="4" t="s">
        <v>28</v>
      </c>
      <c r="P73" s="18" t="s">
        <v>18</v>
      </c>
      <c r="Q73" s="5">
        <f t="shared" si="4"/>
        <v>8.895999999999999</v>
      </c>
      <c r="R73" s="5">
        <f t="shared" si="5"/>
        <v>5.58</v>
      </c>
      <c r="S73" s="5">
        <f t="shared" si="6"/>
        <v>1.1100000000000001</v>
      </c>
      <c r="T73" s="23">
        <f>('Investor-Inputs'!$G$19 * Q73) + ('Investor-Inputs'!$J$19 * R73) + ('Investor-Inputs'!$N$19 * S73)</f>
        <v>38.957999999999998</v>
      </c>
      <c r="U73" s="27">
        <f t="shared" si="7"/>
        <v>331</v>
      </c>
    </row>
    <row r="74" spans="3:21" x14ac:dyDescent="0.25">
      <c r="C74" s="2" t="s">
        <v>90</v>
      </c>
      <c r="D74" s="2">
        <v>4</v>
      </c>
      <c r="E74" s="2" t="s">
        <v>14</v>
      </c>
      <c r="F74" s="2" t="s">
        <v>87</v>
      </c>
      <c r="G74" s="3">
        <v>7.74</v>
      </c>
      <c r="H74" s="3">
        <v>7.85</v>
      </c>
      <c r="I74" s="3">
        <v>20.309999999999999</v>
      </c>
      <c r="J74" s="3">
        <v>11.44</v>
      </c>
      <c r="K74" s="3">
        <v>17.829999999999998</v>
      </c>
      <c r="L74" s="21">
        <v>15.16</v>
      </c>
      <c r="M74" s="3">
        <v>2.02</v>
      </c>
      <c r="N74" s="2" t="s">
        <v>16</v>
      </c>
      <c r="O74" s="4" t="s">
        <v>24</v>
      </c>
      <c r="P74" s="18" t="s">
        <v>18</v>
      </c>
      <c r="Q74" s="5">
        <f t="shared" si="4"/>
        <v>17.039000000000001</v>
      </c>
      <c r="R74" s="5">
        <f t="shared" si="5"/>
        <v>13.3</v>
      </c>
      <c r="S74" s="5">
        <f t="shared" si="6"/>
        <v>9.9249999999999989</v>
      </c>
      <c r="T74" s="23">
        <f>('Investor-Inputs'!$G$19 * Q74) + ('Investor-Inputs'!$J$19 * R74) + ('Investor-Inputs'!$N$19 * S74)</f>
        <v>87.64200000000001</v>
      </c>
      <c r="U74" s="27">
        <f t="shared" si="7"/>
        <v>89</v>
      </c>
    </row>
    <row r="75" spans="3:21" x14ac:dyDescent="0.25">
      <c r="C75" s="2" t="s">
        <v>91</v>
      </c>
      <c r="D75" s="2">
        <v>5</v>
      </c>
      <c r="E75" s="2" t="s">
        <v>14</v>
      </c>
      <c r="F75" s="2" t="s">
        <v>87</v>
      </c>
      <c r="G75" s="3">
        <v>11.15</v>
      </c>
      <c r="H75" s="3">
        <v>6.06</v>
      </c>
      <c r="I75" s="3">
        <v>22.8</v>
      </c>
      <c r="J75" s="3">
        <v>11.97</v>
      </c>
      <c r="K75" s="2"/>
      <c r="L75" s="20"/>
      <c r="M75" s="3">
        <v>1.64</v>
      </c>
      <c r="N75" s="2" t="s">
        <v>16</v>
      </c>
      <c r="O75" s="4" t="s">
        <v>28</v>
      </c>
      <c r="P75" s="18" t="s">
        <v>18</v>
      </c>
      <c r="Q75" s="5">
        <f t="shared" si="4"/>
        <v>9.120000000000001</v>
      </c>
      <c r="R75" s="5">
        <f t="shared" si="5"/>
        <v>5.9850000000000003</v>
      </c>
      <c r="S75" s="5">
        <f t="shared" si="6"/>
        <v>0.82</v>
      </c>
      <c r="T75" s="23">
        <f>('Investor-Inputs'!$G$19 * Q75) + ('Investor-Inputs'!$J$19 * R75) + ('Investor-Inputs'!$N$19 * S75)</f>
        <v>40.150000000000006</v>
      </c>
      <c r="U75" s="27">
        <f t="shared" si="7"/>
        <v>325</v>
      </c>
    </row>
    <row r="76" spans="3:21" x14ac:dyDescent="0.25">
      <c r="C76" s="2" t="s">
        <v>92</v>
      </c>
      <c r="D76" s="2">
        <v>4</v>
      </c>
      <c r="E76" s="2" t="s">
        <v>14</v>
      </c>
      <c r="F76" s="2" t="s">
        <v>87</v>
      </c>
      <c r="G76" s="3">
        <v>10.06</v>
      </c>
      <c r="H76" s="3">
        <v>6.32</v>
      </c>
      <c r="I76" s="3">
        <v>20.36</v>
      </c>
      <c r="J76" s="3">
        <v>10.59</v>
      </c>
      <c r="K76" s="3">
        <v>17.84</v>
      </c>
      <c r="L76" s="21">
        <v>14.39</v>
      </c>
      <c r="M76" s="3">
        <v>2.91</v>
      </c>
      <c r="N76" s="2" t="s">
        <v>16</v>
      </c>
      <c r="O76" s="4" t="s">
        <v>17</v>
      </c>
      <c r="P76" s="18" t="s">
        <v>18</v>
      </c>
      <c r="Q76" s="5">
        <f t="shared" si="4"/>
        <v>17.064</v>
      </c>
      <c r="R76" s="5">
        <f t="shared" si="5"/>
        <v>12.49</v>
      </c>
      <c r="S76" s="5">
        <f t="shared" si="6"/>
        <v>10.375</v>
      </c>
      <c r="T76" s="23">
        <f>('Investor-Inputs'!$G$19 * Q76) + ('Investor-Inputs'!$J$19 * R76) + ('Investor-Inputs'!$N$19 * S76)</f>
        <v>86.546999999999997</v>
      </c>
      <c r="U76" s="27">
        <f t="shared" si="7"/>
        <v>98</v>
      </c>
    </row>
    <row r="77" spans="3:21" x14ac:dyDescent="0.25">
      <c r="C77" s="2" t="s">
        <v>93</v>
      </c>
      <c r="D77" s="2">
        <v>5</v>
      </c>
      <c r="E77" s="2" t="s">
        <v>14</v>
      </c>
      <c r="F77" s="2" t="s">
        <v>87</v>
      </c>
      <c r="G77" s="3">
        <v>7.19</v>
      </c>
      <c r="H77" s="3">
        <v>1.59</v>
      </c>
      <c r="I77" s="3">
        <v>20.32</v>
      </c>
      <c r="J77" s="3">
        <v>9.75</v>
      </c>
      <c r="K77" s="3">
        <v>21.31</v>
      </c>
      <c r="L77" s="21">
        <v>16.27</v>
      </c>
      <c r="M77" s="3">
        <v>1.47</v>
      </c>
      <c r="N77" s="2" t="s">
        <v>16</v>
      </c>
      <c r="O77" s="4" t="s">
        <v>17</v>
      </c>
      <c r="P77" s="18" t="s">
        <v>18</v>
      </c>
      <c r="Q77" s="5">
        <f t="shared" si="4"/>
        <v>18.783000000000001</v>
      </c>
      <c r="R77" s="5">
        <f t="shared" si="5"/>
        <v>13.01</v>
      </c>
      <c r="S77" s="5">
        <f t="shared" si="6"/>
        <v>11.389999999999999</v>
      </c>
      <c r="T77" s="23">
        <f>('Investor-Inputs'!$G$19 * Q77) + ('Investor-Inputs'!$J$19 * R77) + ('Investor-Inputs'!$N$19 * S77)</f>
        <v>93.759</v>
      </c>
      <c r="U77" s="27">
        <f t="shared" si="7"/>
        <v>63</v>
      </c>
    </row>
    <row r="78" spans="3:21" x14ac:dyDescent="0.25">
      <c r="C78" s="2" t="s">
        <v>94</v>
      </c>
      <c r="D78" s="2">
        <v>5</v>
      </c>
      <c r="E78" s="2" t="s">
        <v>14</v>
      </c>
      <c r="F78" s="2" t="s">
        <v>95</v>
      </c>
      <c r="G78" s="3">
        <v>10.73</v>
      </c>
      <c r="H78" s="3">
        <v>5.67</v>
      </c>
      <c r="I78" s="3">
        <v>24.72</v>
      </c>
      <c r="J78" s="3">
        <v>14.67</v>
      </c>
      <c r="K78" s="3">
        <v>21.02</v>
      </c>
      <c r="L78" s="21">
        <v>18.48</v>
      </c>
      <c r="M78" s="3">
        <v>1.8</v>
      </c>
      <c r="N78" s="2" t="s">
        <v>16</v>
      </c>
      <c r="O78" s="4" t="s">
        <v>17</v>
      </c>
      <c r="P78" s="18" t="s">
        <v>18</v>
      </c>
      <c r="Q78" s="5">
        <f t="shared" si="4"/>
        <v>20.398</v>
      </c>
      <c r="R78" s="5">
        <f t="shared" si="5"/>
        <v>16.574999999999999</v>
      </c>
      <c r="S78" s="5">
        <f t="shared" si="6"/>
        <v>11.41</v>
      </c>
      <c r="T78" s="23">
        <f>('Investor-Inputs'!$G$19 * Q78) + ('Investor-Inputs'!$J$19 * R78) + ('Investor-Inputs'!$N$19 * S78)</f>
        <v>105.75399999999999</v>
      </c>
      <c r="U78" s="27">
        <f t="shared" si="7"/>
        <v>39</v>
      </c>
    </row>
    <row r="79" spans="3:21" x14ac:dyDescent="0.25">
      <c r="C79" s="2" t="s">
        <v>96</v>
      </c>
      <c r="D79" s="2">
        <v>5</v>
      </c>
      <c r="E79" s="2" t="s">
        <v>14</v>
      </c>
      <c r="F79" s="2" t="s">
        <v>95</v>
      </c>
      <c r="G79" s="3">
        <v>10.69</v>
      </c>
      <c r="H79" s="3">
        <v>2.78</v>
      </c>
      <c r="I79" s="3">
        <v>23.56</v>
      </c>
      <c r="J79" s="3">
        <v>12.21</v>
      </c>
      <c r="K79" s="3">
        <v>21.25</v>
      </c>
      <c r="L79" s="21">
        <v>18.34</v>
      </c>
      <c r="M79" s="3">
        <v>1.3</v>
      </c>
      <c r="N79" s="2" t="s">
        <v>16</v>
      </c>
      <c r="O79" s="4" t="s">
        <v>17</v>
      </c>
      <c r="P79" s="18" t="s">
        <v>18</v>
      </c>
      <c r="Q79" s="5">
        <f t="shared" si="4"/>
        <v>20.048999999999999</v>
      </c>
      <c r="R79" s="5">
        <f t="shared" si="5"/>
        <v>15.275</v>
      </c>
      <c r="S79" s="5">
        <f t="shared" si="6"/>
        <v>11.275</v>
      </c>
      <c r="T79" s="23">
        <f>('Investor-Inputs'!$G$19 * Q79) + ('Investor-Inputs'!$J$19 * R79) + ('Investor-Inputs'!$N$19 * S79)</f>
        <v>101.97200000000001</v>
      </c>
      <c r="U79" s="27">
        <f t="shared" si="7"/>
        <v>45</v>
      </c>
    </row>
    <row r="80" spans="3:21" x14ac:dyDescent="0.25">
      <c r="C80" s="2" t="s">
        <v>97</v>
      </c>
      <c r="D80" s="2">
        <v>4</v>
      </c>
      <c r="E80" s="2" t="s">
        <v>14</v>
      </c>
      <c r="F80" s="2" t="s">
        <v>95</v>
      </c>
      <c r="G80" s="3">
        <v>24.33</v>
      </c>
      <c r="H80" s="3">
        <v>19.63</v>
      </c>
      <c r="I80" s="3">
        <v>26.21</v>
      </c>
      <c r="J80" s="3">
        <v>18.78</v>
      </c>
      <c r="K80" s="3">
        <v>20.73</v>
      </c>
      <c r="L80" s="21">
        <v>19.600000000000001</v>
      </c>
      <c r="M80" s="3">
        <v>1.84</v>
      </c>
      <c r="N80" s="2" t="s">
        <v>16</v>
      </c>
      <c r="O80" s="4" t="s">
        <v>17</v>
      </c>
      <c r="P80" s="18" t="s">
        <v>18</v>
      </c>
      <c r="Q80" s="5">
        <f t="shared" si="4"/>
        <v>20.849000000000004</v>
      </c>
      <c r="R80" s="5">
        <f t="shared" si="5"/>
        <v>19.190000000000001</v>
      </c>
      <c r="S80" s="5">
        <f t="shared" si="6"/>
        <v>11.285</v>
      </c>
      <c r="T80" s="23">
        <f>('Investor-Inputs'!$G$19 * Q80) + ('Investor-Inputs'!$J$19 * R80) + ('Investor-Inputs'!$N$19 * S80)</f>
        <v>112.21200000000002</v>
      </c>
      <c r="U80" s="27">
        <f t="shared" si="7"/>
        <v>25</v>
      </c>
    </row>
    <row r="81" spans="3:21" x14ac:dyDescent="0.25">
      <c r="C81" s="2" t="s">
        <v>98</v>
      </c>
      <c r="D81" s="2">
        <v>4</v>
      </c>
      <c r="E81" s="2" t="s">
        <v>14</v>
      </c>
      <c r="F81" s="2" t="s">
        <v>95</v>
      </c>
      <c r="G81" s="3">
        <v>13.6</v>
      </c>
      <c r="H81" s="3">
        <v>4.16</v>
      </c>
      <c r="I81" s="3">
        <v>25.59</v>
      </c>
      <c r="J81" s="3">
        <v>16.05</v>
      </c>
      <c r="K81" s="3">
        <v>21.01</v>
      </c>
      <c r="L81" s="21">
        <v>19.18</v>
      </c>
      <c r="M81" s="3">
        <v>2.17</v>
      </c>
      <c r="N81" s="2" t="s">
        <v>16</v>
      </c>
      <c r="O81" s="4" t="s">
        <v>28</v>
      </c>
      <c r="P81" s="18" t="s">
        <v>18</v>
      </c>
      <c r="Q81" s="5">
        <f t="shared" si="4"/>
        <v>20.741</v>
      </c>
      <c r="R81" s="5">
        <f t="shared" si="5"/>
        <v>17.615000000000002</v>
      </c>
      <c r="S81" s="5">
        <f t="shared" si="6"/>
        <v>11.59</v>
      </c>
      <c r="T81" s="23">
        <f>('Investor-Inputs'!$G$19 * Q81) + ('Investor-Inputs'!$J$19 * R81) + ('Investor-Inputs'!$N$19 * S81)</f>
        <v>109.04300000000001</v>
      </c>
      <c r="U81" s="27">
        <f t="shared" si="7"/>
        <v>33</v>
      </c>
    </row>
    <row r="82" spans="3:21" x14ac:dyDescent="0.25">
      <c r="C82" s="2" t="s">
        <v>99</v>
      </c>
      <c r="D82" s="2">
        <v>4</v>
      </c>
      <c r="E82" s="2" t="s">
        <v>14</v>
      </c>
      <c r="F82" s="2" t="s">
        <v>95</v>
      </c>
      <c r="G82" s="3">
        <v>11.39</v>
      </c>
      <c r="H82" s="3">
        <v>6.83</v>
      </c>
      <c r="I82" s="3">
        <v>23.61</v>
      </c>
      <c r="J82" s="3">
        <v>12.25</v>
      </c>
      <c r="K82" s="3">
        <v>16.78</v>
      </c>
      <c r="L82" s="21">
        <v>16.260000000000002</v>
      </c>
      <c r="M82" s="3">
        <v>1.84</v>
      </c>
      <c r="N82" s="2" t="s">
        <v>16</v>
      </c>
      <c r="O82" s="4" t="s">
        <v>17</v>
      </c>
      <c r="P82" s="18" t="s">
        <v>18</v>
      </c>
      <c r="Q82" s="5">
        <f t="shared" si="4"/>
        <v>17.834000000000003</v>
      </c>
      <c r="R82" s="5">
        <f t="shared" si="5"/>
        <v>14.255000000000001</v>
      </c>
      <c r="S82" s="5">
        <f t="shared" si="6"/>
        <v>9.31</v>
      </c>
      <c r="T82" s="23">
        <f>('Investor-Inputs'!$G$19 * Q82) + ('Investor-Inputs'!$J$19 * R82) + ('Investor-Inputs'!$N$19 * S82)</f>
        <v>91.322000000000017</v>
      </c>
      <c r="U82" s="27">
        <f t="shared" si="7"/>
        <v>75</v>
      </c>
    </row>
    <row r="83" spans="3:21" x14ac:dyDescent="0.25">
      <c r="C83" s="2" t="s">
        <v>100</v>
      </c>
      <c r="D83" s="2">
        <v>4</v>
      </c>
      <c r="E83" s="2" t="s">
        <v>14</v>
      </c>
      <c r="F83" s="2" t="s">
        <v>95</v>
      </c>
      <c r="G83" s="3">
        <v>7.09</v>
      </c>
      <c r="H83" s="3">
        <v>3.68</v>
      </c>
      <c r="I83" s="3">
        <v>23.26</v>
      </c>
      <c r="J83" s="3">
        <v>10.26</v>
      </c>
      <c r="K83" s="2"/>
      <c r="L83" s="20"/>
      <c r="M83" s="3">
        <v>2.31</v>
      </c>
      <c r="N83" s="2" t="s">
        <v>16</v>
      </c>
      <c r="O83" s="4" t="s">
        <v>17</v>
      </c>
      <c r="P83" s="18" t="s">
        <v>18</v>
      </c>
      <c r="Q83" s="5">
        <f t="shared" si="4"/>
        <v>9.3040000000000003</v>
      </c>
      <c r="R83" s="5">
        <f t="shared" si="5"/>
        <v>5.13</v>
      </c>
      <c r="S83" s="5">
        <f t="shared" si="6"/>
        <v>1.155</v>
      </c>
      <c r="T83" s="23">
        <f>('Investor-Inputs'!$G$19 * Q83) + ('Investor-Inputs'!$J$19 * R83) + ('Investor-Inputs'!$N$19 * S83)</f>
        <v>39.326999999999998</v>
      </c>
      <c r="U83" s="27">
        <f t="shared" si="7"/>
        <v>329</v>
      </c>
    </row>
    <row r="84" spans="3:21" x14ac:dyDescent="0.25">
      <c r="C84" s="2" t="s">
        <v>101</v>
      </c>
      <c r="D84" s="2">
        <v>4</v>
      </c>
      <c r="E84" s="2" t="s">
        <v>14</v>
      </c>
      <c r="F84" s="2" t="s">
        <v>95</v>
      </c>
      <c r="G84" s="3">
        <v>13.91</v>
      </c>
      <c r="H84" s="3">
        <v>6.69</v>
      </c>
      <c r="I84" s="3">
        <v>21.47</v>
      </c>
      <c r="J84" s="3">
        <v>13.11</v>
      </c>
      <c r="K84" s="3">
        <v>18.88</v>
      </c>
      <c r="L84" s="21">
        <v>16.37</v>
      </c>
      <c r="M84" s="3">
        <v>1.45</v>
      </c>
      <c r="N84" s="2" t="s">
        <v>16</v>
      </c>
      <c r="O84" s="4" t="s">
        <v>24</v>
      </c>
      <c r="P84" s="18" t="s">
        <v>18</v>
      </c>
      <c r="Q84" s="5">
        <f t="shared" si="4"/>
        <v>18.027999999999999</v>
      </c>
      <c r="R84" s="5">
        <f t="shared" si="5"/>
        <v>14.74</v>
      </c>
      <c r="S84" s="5">
        <f t="shared" si="6"/>
        <v>10.164999999999999</v>
      </c>
      <c r="T84" s="23">
        <f>('Investor-Inputs'!$G$19 * Q84) + ('Investor-Inputs'!$J$19 * R84) + ('Investor-Inputs'!$N$19 * S84)</f>
        <v>93.728999999999985</v>
      </c>
      <c r="U84" s="27">
        <f t="shared" si="7"/>
        <v>65</v>
      </c>
    </row>
    <row r="85" spans="3:21" x14ac:dyDescent="0.25">
      <c r="C85" s="2" t="s">
        <v>102</v>
      </c>
      <c r="D85" s="2">
        <v>4</v>
      </c>
      <c r="E85" s="2" t="s">
        <v>14</v>
      </c>
      <c r="F85" s="2" t="s">
        <v>95</v>
      </c>
      <c r="G85" s="3">
        <v>12.03</v>
      </c>
      <c r="H85" s="3">
        <v>11.03</v>
      </c>
      <c r="I85" s="3">
        <v>24.21</v>
      </c>
      <c r="J85" s="3">
        <v>13.27</v>
      </c>
      <c r="K85" s="3">
        <v>20.100000000000001</v>
      </c>
      <c r="L85" s="21">
        <v>17.7</v>
      </c>
      <c r="M85" s="3">
        <v>2.27</v>
      </c>
      <c r="N85" s="2" t="s">
        <v>16</v>
      </c>
      <c r="O85" s="4" t="s">
        <v>17</v>
      </c>
      <c r="P85" s="18" t="s">
        <v>18</v>
      </c>
      <c r="Q85" s="5">
        <f t="shared" si="4"/>
        <v>19.734000000000002</v>
      </c>
      <c r="R85" s="5">
        <f t="shared" si="5"/>
        <v>15.484999999999999</v>
      </c>
      <c r="S85" s="5">
        <f t="shared" si="6"/>
        <v>11.185</v>
      </c>
      <c r="T85" s="23">
        <f>('Investor-Inputs'!$G$19 * Q85) + ('Investor-Inputs'!$J$19 * R85) + ('Investor-Inputs'!$N$19 * S85)</f>
        <v>101.357</v>
      </c>
      <c r="U85" s="27">
        <f t="shared" si="7"/>
        <v>47</v>
      </c>
    </row>
    <row r="86" spans="3:21" x14ac:dyDescent="0.25">
      <c r="C86" s="2" t="s">
        <v>103</v>
      </c>
      <c r="D86" s="2">
        <v>4</v>
      </c>
      <c r="E86" s="2" t="s">
        <v>14</v>
      </c>
      <c r="F86" s="2" t="s">
        <v>95</v>
      </c>
      <c r="G86" s="3">
        <v>-3.85</v>
      </c>
      <c r="H86" s="3">
        <v>-12.01</v>
      </c>
      <c r="I86" s="3">
        <v>20.88</v>
      </c>
      <c r="J86" s="3">
        <v>6.03</v>
      </c>
      <c r="K86" s="3">
        <v>22.82</v>
      </c>
      <c r="L86" s="21">
        <v>15.79</v>
      </c>
      <c r="M86" s="3">
        <v>1.61</v>
      </c>
      <c r="N86" s="2" t="s">
        <v>16</v>
      </c>
      <c r="O86" s="4" t="s">
        <v>28</v>
      </c>
      <c r="P86" s="18" t="s">
        <v>18</v>
      </c>
      <c r="Q86" s="5">
        <f t="shared" si="4"/>
        <v>19.762</v>
      </c>
      <c r="R86" s="5">
        <f t="shared" si="5"/>
        <v>10.91</v>
      </c>
      <c r="S86" s="5">
        <f t="shared" si="6"/>
        <v>12.215</v>
      </c>
      <c r="T86" s="23">
        <f>('Investor-Inputs'!$G$19 * Q86) + ('Investor-Inputs'!$J$19 * R86) + ('Investor-Inputs'!$N$19 * S86)</f>
        <v>93.320999999999998</v>
      </c>
      <c r="U86" s="27">
        <f t="shared" si="7"/>
        <v>69</v>
      </c>
    </row>
    <row r="87" spans="3:21" x14ac:dyDescent="0.25">
      <c r="C87" s="2" t="s">
        <v>104</v>
      </c>
      <c r="D87" s="2">
        <v>5</v>
      </c>
      <c r="E87" s="2" t="s">
        <v>14</v>
      </c>
      <c r="F87" s="2" t="s">
        <v>95</v>
      </c>
      <c r="G87" s="3">
        <v>12.26</v>
      </c>
      <c r="H87" s="3">
        <v>8.8800000000000008</v>
      </c>
      <c r="I87" s="3">
        <v>25.44</v>
      </c>
      <c r="J87" s="3">
        <v>14.46</v>
      </c>
      <c r="K87" s="3">
        <v>22.24</v>
      </c>
      <c r="L87" s="21">
        <v>19.04</v>
      </c>
      <c r="M87" s="3">
        <v>1.92</v>
      </c>
      <c r="N87" s="2" t="s">
        <v>16</v>
      </c>
      <c r="O87" s="4" t="s">
        <v>28</v>
      </c>
      <c r="P87" s="18" t="s">
        <v>18</v>
      </c>
      <c r="Q87" s="5">
        <f t="shared" si="4"/>
        <v>21.295999999999999</v>
      </c>
      <c r="R87" s="5">
        <f t="shared" si="5"/>
        <v>16.75</v>
      </c>
      <c r="S87" s="5">
        <f t="shared" si="6"/>
        <v>12.079999999999998</v>
      </c>
      <c r="T87" s="23">
        <f>('Investor-Inputs'!$G$19 * Q87) + ('Investor-Inputs'!$J$19 * R87) + ('Investor-Inputs'!$N$19 * S87)</f>
        <v>109.468</v>
      </c>
      <c r="U87" s="27">
        <f t="shared" si="7"/>
        <v>31</v>
      </c>
    </row>
    <row r="88" spans="3:21" x14ac:dyDescent="0.25">
      <c r="C88" s="2" t="s">
        <v>105</v>
      </c>
      <c r="D88" s="2">
        <v>4</v>
      </c>
      <c r="E88" s="2" t="s">
        <v>14</v>
      </c>
      <c r="F88" s="2" t="s">
        <v>95</v>
      </c>
      <c r="G88" s="3">
        <v>11.3</v>
      </c>
      <c r="H88" s="3">
        <v>5.56</v>
      </c>
      <c r="I88" s="3">
        <v>24.15</v>
      </c>
      <c r="J88" s="3">
        <v>13.44</v>
      </c>
      <c r="K88" s="3">
        <v>19.86</v>
      </c>
      <c r="L88" s="21">
        <v>17.61</v>
      </c>
      <c r="M88" s="3">
        <v>2.25</v>
      </c>
      <c r="N88" s="2" t="s">
        <v>16</v>
      </c>
      <c r="O88" s="4" t="s">
        <v>17</v>
      </c>
      <c r="P88" s="18" t="s">
        <v>18</v>
      </c>
      <c r="Q88" s="5">
        <f t="shared" si="4"/>
        <v>19.59</v>
      </c>
      <c r="R88" s="5">
        <f t="shared" si="5"/>
        <v>15.524999999999999</v>
      </c>
      <c r="S88" s="5">
        <f t="shared" si="6"/>
        <v>11.055</v>
      </c>
      <c r="T88" s="23">
        <f>('Investor-Inputs'!$G$19 * Q88) + ('Investor-Inputs'!$J$19 * R88) + ('Investor-Inputs'!$N$19 * S88)</f>
        <v>100.875</v>
      </c>
      <c r="U88" s="27">
        <f t="shared" si="7"/>
        <v>49</v>
      </c>
    </row>
    <row r="89" spans="3:21" x14ac:dyDescent="0.25">
      <c r="C89" s="2" t="s">
        <v>106</v>
      </c>
      <c r="D89" s="2">
        <v>5</v>
      </c>
      <c r="E89" s="2" t="s">
        <v>14</v>
      </c>
      <c r="F89" s="2" t="s">
        <v>95</v>
      </c>
      <c r="G89" s="3">
        <v>15.16</v>
      </c>
      <c r="H89" s="3">
        <v>8.4499999999999993</v>
      </c>
      <c r="I89" s="3">
        <v>25.61</v>
      </c>
      <c r="J89" s="3">
        <v>15.18</v>
      </c>
      <c r="K89" s="2"/>
      <c r="L89" s="20"/>
      <c r="M89" s="3">
        <v>2.02</v>
      </c>
      <c r="N89" s="2" t="s">
        <v>16</v>
      </c>
      <c r="O89" s="4" t="s">
        <v>17</v>
      </c>
      <c r="P89" s="18" t="s">
        <v>18</v>
      </c>
      <c r="Q89" s="5">
        <f t="shared" si="4"/>
        <v>10.244</v>
      </c>
      <c r="R89" s="5">
        <f t="shared" si="5"/>
        <v>7.59</v>
      </c>
      <c r="S89" s="5">
        <f t="shared" si="6"/>
        <v>1.01</v>
      </c>
      <c r="T89" s="23">
        <f>('Investor-Inputs'!$G$19 * Q89) + ('Investor-Inputs'!$J$19 * R89) + ('Investor-Inputs'!$N$19 * S89)</f>
        <v>46.921999999999997</v>
      </c>
      <c r="U89" s="27">
        <f t="shared" si="7"/>
        <v>289</v>
      </c>
    </row>
    <row r="90" spans="3:21" x14ac:dyDescent="0.25">
      <c r="C90" s="2" t="s">
        <v>107</v>
      </c>
      <c r="D90" s="2">
        <v>4</v>
      </c>
      <c r="E90" s="2" t="s">
        <v>14</v>
      </c>
      <c r="F90" s="2" t="s">
        <v>108</v>
      </c>
      <c r="G90" s="3">
        <v>10.08</v>
      </c>
      <c r="H90" s="3">
        <v>7.41</v>
      </c>
      <c r="I90" s="3">
        <v>24.27</v>
      </c>
      <c r="J90" s="3">
        <v>10.89</v>
      </c>
      <c r="K90" s="2"/>
      <c r="L90" s="20"/>
      <c r="M90" s="3">
        <v>1.05</v>
      </c>
      <c r="N90" s="2" t="s">
        <v>16</v>
      </c>
      <c r="O90" s="4" t="s">
        <v>17</v>
      </c>
      <c r="P90" s="18" t="s">
        <v>18</v>
      </c>
      <c r="Q90" s="5">
        <f t="shared" si="4"/>
        <v>9.7080000000000002</v>
      </c>
      <c r="R90" s="5">
        <f t="shared" si="5"/>
        <v>5.4450000000000003</v>
      </c>
      <c r="S90" s="5">
        <f t="shared" si="6"/>
        <v>0.52500000000000002</v>
      </c>
      <c r="T90" s="23">
        <f>('Investor-Inputs'!$G$19 * Q90) + ('Investor-Inputs'!$J$19 * R90) + ('Investor-Inputs'!$N$19 * S90)</f>
        <v>40.539000000000001</v>
      </c>
      <c r="U90" s="27">
        <f t="shared" si="7"/>
        <v>321</v>
      </c>
    </row>
    <row r="91" spans="3:21" x14ac:dyDescent="0.25">
      <c r="C91" s="2" t="s">
        <v>109</v>
      </c>
      <c r="D91" s="2">
        <v>4</v>
      </c>
      <c r="E91" s="2" t="s">
        <v>14</v>
      </c>
      <c r="F91" s="2" t="s">
        <v>108</v>
      </c>
      <c r="G91" s="3">
        <v>8.4499999999999993</v>
      </c>
      <c r="H91" s="3">
        <v>4.16</v>
      </c>
      <c r="I91" s="3">
        <v>17.829999999999998</v>
      </c>
      <c r="J91" s="3">
        <v>8.85</v>
      </c>
      <c r="K91" s="3">
        <v>18.11</v>
      </c>
      <c r="L91" s="21">
        <v>13.47</v>
      </c>
      <c r="M91" s="3">
        <v>1.74</v>
      </c>
      <c r="N91" s="2" t="s">
        <v>16</v>
      </c>
      <c r="O91" s="4" t="s">
        <v>110</v>
      </c>
      <c r="P91" s="18" t="s">
        <v>18</v>
      </c>
      <c r="Q91" s="5">
        <f t="shared" si="4"/>
        <v>16.186999999999998</v>
      </c>
      <c r="R91" s="5">
        <f t="shared" si="5"/>
        <v>11.16</v>
      </c>
      <c r="S91" s="5">
        <f t="shared" si="6"/>
        <v>9.9249999999999989</v>
      </c>
      <c r="T91" s="23">
        <f>('Investor-Inputs'!$G$19 * Q91) + ('Investor-Inputs'!$J$19 * R91) + ('Investor-Inputs'!$N$19 * S91)</f>
        <v>80.805999999999997</v>
      </c>
      <c r="U91" s="27">
        <f t="shared" si="7"/>
        <v>128</v>
      </c>
    </row>
    <row r="92" spans="3:21" x14ac:dyDescent="0.25">
      <c r="C92" s="2" t="s">
        <v>111</v>
      </c>
      <c r="D92" s="2">
        <v>5</v>
      </c>
      <c r="E92" s="2" t="s">
        <v>14</v>
      </c>
      <c r="F92" s="2" t="s">
        <v>108</v>
      </c>
      <c r="G92" s="3">
        <v>13.73</v>
      </c>
      <c r="H92" s="3">
        <v>8.68</v>
      </c>
      <c r="I92" s="3">
        <v>30.4</v>
      </c>
      <c r="J92" s="3">
        <v>16.61</v>
      </c>
      <c r="K92" s="3">
        <v>22.81</v>
      </c>
      <c r="L92" s="21">
        <v>20.73</v>
      </c>
      <c r="M92" s="3">
        <v>1.98</v>
      </c>
      <c r="N92" s="2" t="s">
        <v>16</v>
      </c>
      <c r="O92" s="4" t="s">
        <v>28</v>
      </c>
      <c r="P92" s="18" t="s">
        <v>18</v>
      </c>
      <c r="Q92" s="5">
        <f t="shared" si="4"/>
        <v>23.564999999999998</v>
      </c>
      <c r="R92" s="5">
        <f t="shared" si="5"/>
        <v>18.670000000000002</v>
      </c>
      <c r="S92" s="5">
        <f t="shared" si="6"/>
        <v>12.395</v>
      </c>
      <c r="T92" s="23">
        <f>('Investor-Inputs'!$G$19 * Q92) + ('Investor-Inputs'!$J$19 * R92) + ('Investor-Inputs'!$N$19 * S92)</f>
        <v>120.42999999999999</v>
      </c>
      <c r="U92" s="27">
        <f t="shared" si="7"/>
        <v>13</v>
      </c>
    </row>
    <row r="93" spans="3:21" x14ac:dyDescent="0.25">
      <c r="C93" s="2" t="s">
        <v>112</v>
      </c>
      <c r="D93" s="2">
        <v>4</v>
      </c>
      <c r="E93" s="2" t="s">
        <v>14</v>
      </c>
      <c r="F93" s="2" t="s">
        <v>108</v>
      </c>
      <c r="G93" s="3">
        <v>9.75</v>
      </c>
      <c r="H93" s="3">
        <v>4.1500000000000004</v>
      </c>
      <c r="I93" s="3">
        <v>19.04</v>
      </c>
      <c r="J93" s="3">
        <v>8.69</v>
      </c>
      <c r="K93" s="3">
        <v>19.37</v>
      </c>
      <c r="L93" s="21">
        <v>14.24</v>
      </c>
      <c r="M93" s="3">
        <v>2.13</v>
      </c>
      <c r="N93" s="2" t="s">
        <v>16</v>
      </c>
      <c r="O93" s="4" t="s">
        <v>24</v>
      </c>
      <c r="P93" s="18" t="s">
        <v>18</v>
      </c>
      <c r="Q93" s="5">
        <f t="shared" si="4"/>
        <v>17.301000000000002</v>
      </c>
      <c r="R93" s="5">
        <f t="shared" si="5"/>
        <v>11.465</v>
      </c>
      <c r="S93" s="5">
        <f t="shared" si="6"/>
        <v>10.75</v>
      </c>
      <c r="T93" s="23">
        <f>('Investor-Inputs'!$G$19 * Q93) + ('Investor-Inputs'!$J$19 * R93) + ('Investor-Inputs'!$N$19 * S93)</f>
        <v>85.582999999999998</v>
      </c>
      <c r="U93" s="27">
        <f t="shared" si="7"/>
        <v>108</v>
      </c>
    </row>
    <row r="94" spans="3:21" x14ac:dyDescent="0.25">
      <c r="C94" s="2" t="s">
        <v>113</v>
      </c>
      <c r="D94" s="2">
        <v>4</v>
      </c>
      <c r="E94" s="2" t="s">
        <v>14</v>
      </c>
      <c r="F94" s="2" t="s">
        <v>108</v>
      </c>
      <c r="G94" s="3">
        <v>7.06</v>
      </c>
      <c r="H94" s="3">
        <v>-5.28</v>
      </c>
      <c r="I94" s="3">
        <v>16.39</v>
      </c>
      <c r="J94" s="3">
        <v>4.8600000000000003</v>
      </c>
      <c r="K94" s="3">
        <v>19.079999999999998</v>
      </c>
      <c r="L94" s="21">
        <v>12.77</v>
      </c>
      <c r="M94" s="3">
        <v>1.62</v>
      </c>
      <c r="N94" s="2" t="s">
        <v>16</v>
      </c>
      <c r="O94" s="4" t="s">
        <v>17</v>
      </c>
      <c r="P94" s="18" t="s">
        <v>18</v>
      </c>
      <c r="Q94" s="5">
        <f t="shared" si="4"/>
        <v>16.096</v>
      </c>
      <c r="R94" s="5">
        <f t="shared" si="5"/>
        <v>8.8149999999999995</v>
      </c>
      <c r="S94" s="5">
        <f t="shared" si="6"/>
        <v>10.35</v>
      </c>
      <c r="T94" s="23">
        <f>('Investor-Inputs'!$G$19 * Q94) + ('Investor-Inputs'!$J$19 * R94) + ('Investor-Inputs'!$N$19 * S94)</f>
        <v>76.267999999999986</v>
      </c>
      <c r="U94" s="27">
        <f t="shared" si="7"/>
        <v>150</v>
      </c>
    </row>
    <row r="95" spans="3:21" x14ac:dyDescent="0.25">
      <c r="C95" s="2" t="s">
        <v>114</v>
      </c>
      <c r="D95" s="2">
        <v>5</v>
      </c>
      <c r="E95" s="2" t="s">
        <v>14</v>
      </c>
      <c r="F95" s="2" t="s">
        <v>108</v>
      </c>
      <c r="G95" s="3">
        <v>11.15</v>
      </c>
      <c r="H95" s="3">
        <v>5.39</v>
      </c>
      <c r="I95" s="3">
        <v>24.12</v>
      </c>
      <c r="J95" s="3">
        <v>12.68</v>
      </c>
      <c r="K95" s="3">
        <v>21.78</v>
      </c>
      <c r="L95" s="21">
        <v>17.54</v>
      </c>
      <c r="M95" s="3">
        <v>1.93</v>
      </c>
      <c r="N95" s="2" t="s">
        <v>16</v>
      </c>
      <c r="O95" s="4" t="s">
        <v>28</v>
      </c>
      <c r="P95" s="18" t="s">
        <v>18</v>
      </c>
      <c r="Q95" s="5">
        <f t="shared" si="4"/>
        <v>20.538000000000004</v>
      </c>
      <c r="R95" s="5">
        <f t="shared" si="5"/>
        <v>15.11</v>
      </c>
      <c r="S95" s="5">
        <f t="shared" si="6"/>
        <v>11.855</v>
      </c>
      <c r="T95" s="23">
        <f>('Investor-Inputs'!$G$19 * Q95) + ('Investor-Inputs'!$J$19 * R95) + ('Investor-Inputs'!$N$19 * S95)</f>
        <v>103.68900000000001</v>
      </c>
      <c r="U95" s="27">
        <f t="shared" si="7"/>
        <v>41</v>
      </c>
    </row>
    <row r="96" spans="3:21" x14ac:dyDescent="0.25">
      <c r="C96" s="2" t="s">
        <v>115</v>
      </c>
      <c r="D96" s="2">
        <v>4</v>
      </c>
      <c r="E96" s="2" t="s">
        <v>14</v>
      </c>
      <c r="F96" s="2" t="s">
        <v>108</v>
      </c>
      <c r="G96" s="3">
        <v>12.21</v>
      </c>
      <c r="H96" s="3">
        <v>10.35</v>
      </c>
      <c r="I96" s="3">
        <v>25.17</v>
      </c>
      <c r="J96" s="3">
        <v>13.49</v>
      </c>
      <c r="K96" s="3">
        <v>17.59</v>
      </c>
      <c r="L96" s="21">
        <v>17.59</v>
      </c>
      <c r="M96" s="3">
        <v>1.95</v>
      </c>
      <c r="N96" s="2" t="s">
        <v>16</v>
      </c>
      <c r="O96" s="4" t="s">
        <v>17</v>
      </c>
      <c r="P96" s="18" t="s">
        <v>18</v>
      </c>
      <c r="Q96" s="5">
        <f t="shared" si="4"/>
        <v>18.863</v>
      </c>
      <c r="R96" s="5">
        <f t="shared" si="5"/>
        <v>15.54</v>
      </c>
      <c r="S96" s="5">
        <f t="shared" si="6"/>
        <v>9.77</v>
      </c>
      <c r="T96" s="23">
        <f>('Investor-Inputs'!$G$19 * Q96) + ('Investor-Inputs'!$J$19 * R96) + ('Investor-Inputs'!$N$19 * S96)</f>
        <v>97.438999999999993</v>
      </c>
      <c r="U96" s="27">
        <f t="shared" si="7"/>
        <v>55</v>
      </c>
    </row>
    <row r="97" spans="3:21" x14ac:dyDescent="0.25">
      <c r="C97" s="2" t="s">
        <v>116</v>
      </c>
      <c r="D97" s="2">
        <v>4</v>
      </c>
      <c r="E97" s="2" t="s">
        <v>14</v>
      </c>
      <c r="F97" s="2" t="s">
        <v>108</v>
      </c>
      <c r="G97" s="3">
        <v>9.85</v>
      </c>
      <c r="H97" s="3">
        <v>7.03</v>
      </c>
      <c r="I97" s="3">
        <v>24.28</v>
      </c>
      <c r="J97" s="3">
        <v>10.96</v>
      </c>
      <c r="K97" s="2"/>
      <c r="L97" s="20"/>
      <c r="M97" s="3">
        <v>1.52</v>
      </c>
      <c r="N97" s="2" t="s">
        <v>16</v>
      </c>
      <c r="O97" s="4" t="s">
        <v>17</v>
      </c>
      <c r="P97" s="18" t="s">
        <v>18</v>
      </c>
      <c r="Q97" s="5">
        <f t="shared" si="4"/>
        <v>9.7120000000000015</v>
      </c>
      <c r="R97" s="5">
        <f t="shared" si="5"/>
        <v>5.48</v>
      </c>
      <c r="S97" s="5">
        <f t="shared" si="6"/>
        <v>0.76</v>
      </c>
      <c r="T97" s="23">
        <f>('Investor-Inputs'!$G$19 * Q97) + ('Investor-Inputs'!$J$19 * R97) + ('Investor-Inputs'!$N$19 * S97)</f>
        <v>40.856000000000002</v>
      </c>
      <c r="U97" s="27">
        <f t="shared" si="7"/>
        <v>315</v>
      </c>
    </row>
    <row r="98" spans="3:21" x14ac:dyDescent="0.25">
      <c r="C98" s="2" t="s">
        <v>117</v>
      </c>
      <c r="D98" s="2">
        <v>4</v>
      </c>
      <c r="E98" s="2" t="s">
        <v>14</v>
      </c>
      <c r="F98" s="2" t="s">
        <v>108</v>
      </c>
      <c r="G98" s="3">
        <v>13.69</v>
      </c>
      <c r="H98" s="3">
        <v>10.210000000000001</v>
      </c>
      <c r="I98" s="3">
        <v>24.06</v>
      </c>
      <c r="J98" s="3">
        <v>11.35</v>
      </c>
      <c r="K98" s="2"/>
      <c r="L98" s="20"/>
      <c r="M98" s="3">
        <v>2.96</v>
      </c>
      <c r="N98" s="2" t="s">
        <v>16</v>
      </c>
      <c r="O98" s="4" t="s">
        <v>17</v>
      </c>
      <c r="P98" s="18" t="s">
        <v>18</v>
      </c>
      <c r="Q98" s="5">
        <f t="shared" si="4"/>
        <v>9.6240000000000006</v>
      </c>
      <c r="R98" s="5">
        <f t="shared" si="5"/>
        <v>5.6749999999999998</v>
      </c>
      <c r="S98" s="5">
        <f t="shared" si="6"/>
        <v>1.48</v>
      </c>
      <c r="T98" s="23">
        <f>('Investor-Inputs'!$G$19 * Q98) + ('Investor-Inputs'!$J$19 * R98) + ('Investor-Inputs'!$N$19 * S98)</f>
        <v>41.701999999999998</v>
      </c>
      <c r="U98" s="27">
        <f t="shared" si="7"/>
        <v>309</v>
      </c>
    </row>
    <row r="99" spans="3:21" x14ac:dyDescent="0.25">
      <c r="C99" s="2" t="s">
        <v>118</v>
      </c>
      <c r="D99" s="2">
        <v>4</v>
      </c>
      <c r="E99" s="2" t="s">
        <v>14</v>
      </c>
      <c r="F99" s="2" t="s">
        <v>108</v>
      </c>
      <c r="G99" s="3">
        <v>10.36</v>
      </c>
      <c r="H99" s="3">
        <v>7.52</v>
      </c>
      <c r="I99" s="3">
        <v>21.1</v>
      </c>
      <c r="J99" s="3">
        <v>9.5500000000000007</v>
      </c>
      <c r="K99" s="3">
        <v>22.34</v>
      </c>
      <c r="L99" s="21">
        <v>16.63</v>
      </c>
      <c r="M99" s="3">
        <v>1.5</v>
      </c>
      <c r="N99" s="2" t="s">
        <v>16</v>
      </c>
      <c r="O99" s="4" t="s">
        <v>17</v>
      </c>
      <c r="P99" s="18" t="s">
        <v>18</v>
      </c>
      <c r="Q99" s="5">
        <f t="shared" si="4"/>
        <v>19.61</v>
      </c>
      <c r="R99" s="5">
        <f t="shared" si="5"/>
        <v>13.09</v>
      </c>
      <c r="S99" s="5">
        <f t="shared" si="6"/>
        <v>11.92</v>
      </c>
      <c r="T99" s="23">
        <f>('Investor-Inputs'!$G$19 * Q99) + ('Investor-Inputs'!$J$19 * R99) + ('Investor-Inputs'!$N$19 * S99)</f>
        <v>96.929999999999993</v>
      </c>
      <c r="U99" s="27">
        <f t="shared" si="7"/>
        <v>57</v>
      </c>
    </row>
    <row r="100" spans="3:21" x14ac:dyDescent="0.25">
      <c r="C100" s="2" t="s">
        <v>119</v>
      </c>
      <c r="D100" s="2">
        <v>4</v>
      </c>
      <c r="E100" s="2" t="s">
        <v>14</v>
      </c>
      <c r="F100" s="2" t="s">
        <v>108</v>
      </c>
      <c r="G100" s="3">
        <v>8.43</v>
      </c>
      <c r="H100" s="3">
        <v>7.23</v>
      </c>
      <c r="I100" s="3">
        <v>20.13</v>
      </c>
      <c r="J100" s="3">
        <v>8.4600000000000009</v>
      </c>
      <c r="K100" s="3">
        <v>21.82</v>
      </c>
      <c r="L100" s="21">
        <v>15.83</v>
      </c>
      <c r="M100" s="3">
        <v>2.02</v>
      </c>
      <c r="N100" s="2" t="s">
        <v>16</v>
      </c>
      <c r="O100" s="4" t="s">
        <v>28</v>
      </c>
      <c r="P100" s="18" t="s">
        <v>18</v>
      </c>
      <c r="Q100" s="5">
        <f t="shared" si="4"/>
        <v>18.962</v>
      </c>
      <c r="R100" s="5">
        <f t="shared" si="5"/>
        <v>12.145</v>
      </c>
      <c r="S100" s="5">
        <f t="shared" si="6"/>
        <v>11.92</v>
      </c>
      <c r="T100" s="23">
        <f>('Investor-Inputs'!$G$19 * Q100) + ('Investor-Inputs'!$J$19 * R100) + ('Investor-Inputs'!$N$19 * S100)</f>
        <v>93.095999999999989</v>
      </c>
      <c r="U100" s="27">
        <f t="shared" si="7"/>
        <v>73</v>
      </c>
    </row>
    <row r="101" spans="3:21" x14ac:dyDescent="0.25">
      <c r="C101" s="2" t="s">
        <v>120</v>
      </c>
      <c r="D101" s="2">
        <v>4</v>
      </c>
      <c r="E101" s="2" t="s">
        <v>14</v>
      </c>
      <c r="F101" s="2" t="s">
        <v>108</v>
      </c>
      <c r="G101" s="3">
        <v>15.74</v>
      </c>
      <c r="H101" s="3">
        <v>12.23</v>
      </c>
      <c r="I101" s="3">
        <v>20.48</v>
      </c>
      <c r="J101" s="3">
        <v>11.42</v>
      </c>
      <c r="K101" s="3">
        <v>19.420000000000002</v>
      </c>
      <c r="L101" s="21">
        <v>15.46</v>
      </c>
      <c r="M101" s="3">
        <v>1.91</v>
      </c>
      <c r="N101" s="2" t="s">
        <v>16</v>
      </c>
      <c r="O101" s="4" t="s">
        <v>24</v>
      </c>
      <c r="P101" s="18" t="s">
        <v>18</v>
      </c>
      <c r="Q101" s="5">
        <f t="shared" si="4"/>
        <v>17.902000000000001</v>
      </c>
      <c r="R101" s="5">
        <f t="shared" si="5"/>
        <v>13.440000000000001</v>
      </c>
      <c r="S101" s="5">
        <f t="shared" si="6"/>
        <v>10.665000000000001</v>
      </c>
      <c r="T101" s="23">
        <f>('Investor-Inputs'!$G$19 * Q101) + ('Investor-Inputs'!$J$19 * R101) + ('Investor-Inputs'!$N$19 * S101)</f>
        <v>91.251000000000019</v>
      </c>
      <c r="U101" s="27">
        <f t="shared" si="7"/>
        <v>77</v>
      </c>
    </row>
    <row r="102" spans="3:21" x14ac:dyDescent="0.25">
      <c r="C102" s="2" t="s">
        <v>121</v>
      </c>
      <c r="D102" s="2">
        <v>4</v>
      </c>
      <c r="E102" s="2" t="s">
        <v>14</v>
      </c>
      <c r="F102" s="2" t="s">
        <v>122</v>
      </c>
      <c r="G102" s="3">
        <v>7.95</v>
      </c>
      <c r="H102" s="3">
        <v>2.57</v>
      </c>
      <c r="I102" s="3">
        <v>20.8</v>
      </c>
      <c r="J102" s="3">
        <v>10.98</v>
      </c>
      <c r="K102" s="2"/>
      <c r="L102" s="20"/>
      <c r="M102" s="3">
        <v>2.5499999999999998</v>
      </c>
      <c r="N102" s="2" t="s">
        <v>16</v>
      </c>
      <c r="O102" s="4" t="s">
        <v>17</v>
      </c>
      <c r="P102" s="18" t="s">
        <v>18</v>
      </c>
      <c r="Q102" s="5">
        <f t="shared" si="4"/>
        <v>8.32</v>
      </c>
      <c r="R102" s="5">
        <f t="shared" si="5"/>
        <v>5.49</v>
      </c>
      <c r="S102" s="5">
        <f t="shared" si="6"/>
        <v>1.2749999999999999</v>
      </c>
      <c r="T102" s="23">
        <f>('Investor-Inputs'!$G$19 * Q102) + ('Investor-Inputs'!$J$19 * R102) + ('Investor-Inputs'!$N$19 * S102)</f>
        <v>37.214999999999996</v>
      </c>
      <c r="U102" s="27">
        <f t="shared" si="7"/>
        <v>339</v>
      </c>
    </row>
    <row r="103" spans="3:21" x14ac:dyDescent="0.25">
      <c r="C103" s="2" t="s">
        <v>123</v>
      </c>
      <c r="D103" s="2">
        <v>4</v>
      </c>
      <c r="E103" s="2" t="s">
        <v>14</v>
      </c>
      <c r="F103" s="2" t="s">
        <v>122</v>
      </c>
      <c r="G103" s="3">
        <v>1.38</v>
      </c>
      <c r="H103" s="3">
        <v>-2.0099999999999998</v>
      </c>
      <c r="I103" s="3">
        <v>15.19</v>
      </c>
      <c r="J103" s="3">
        <v>5.58</v>
      </c>
      <c r="K103" s="3">
        <v>16.440000000000001</v>
      </c>
      <c r="L103" s="21">
        <v>11.3</v>
      </c>
      <c r="M103" s="3">
        <v>2.1</v>
      </c>
      <c r="N103" s="2" t="s">
        <v>16</v>
      </c>
      <c r="O103" s="4" t="s">
        <v>24</v>
      </c>
      <c r="P103" s="18" t="s">
        <v>18</v>
      </c>
      <c r="Q103" s="5">
        <f t="shared" si="4"/>
        <v>14.296000000000001</v>
      </c>
      <c r="R103" s="5">
        <f t="shared" si="5"/>
        <v>8.4400000000000013</v>
      </c>
      <c r="S103" s="5">
        <f t="shared" si="6"/>
        <v>9.2700000000000014</v>
      </c>
      <c r="T103" s="23">
        <f>('Investor-Inputs'!$G$19 * Q103) + ('Investor-Inputs'!$J$19 * R103) + ('Investor-Inputs'!$N$19 * S103)</f>
        <v>69.038000000000011</v>
      </c>
      <c r="U103" s="27">
        <f t="shared" si="7"/>
        <v>194</v>
      </c>
    </row>
    <row r="104" spans="3:21" x14ac:dyDescent="0.25">
      <c r="C104" s="2" t="s">
        <v>124</v>
      </c>
      <c r="D104" s="2">
        <v>5</v>
      </c>
      <c r="E104" s="2" t="s">
        <v>14</v>
      </c>
      <c r="F104" s="2" t="s">
        <v>122</v>
      </c>
      <c r="G104" s="3">
        <v>15.03</v>
      </c>
      <c r="H104" s="3">
        <v>10.36</v>
      </c>
      <c r="I104" s="3">
        <v>19.21</v>
      </c>
      <c r="J104" s="3">
        <v>13.9</v>
      </c>
      <c r="K104" s="3">
        <v>15.01</v>
      </c>
      <c r="L104" s="21">
        <v>15.12</v>
      </c>
      <c r="M104" s="3">
        <v>1.94</v>
      </c>
      <c r="N104" s="2" t="s">
        <v>16</v>
      </c>
      <c r="O104" s="4" t="s">
        <v>24</v>
      </c>
      <c r="P104" s="18" t="s">
        <v>18</v>
      </c>
      <c r="Q104" s="5">
        <f t="shared" si="4"/>
        <v>15.189</v>
      </c>
      <c r="R104" s="5">
        <f t="shared" si="5"/>
        <v>14.51</v>
      </c>
      <c r="S104" s="5">
        <f t="shared" si="6"/>
        <v>8.4749999999999996</v>
      </c>
      <c r="T104" s="23">
        <f>('Investor-Inputs'!$G$19 * Q104) + ('Investor-Inputs'!$J$19 * R104) + ('Investor-Inputs'!$N$19 * S104)</f>
        <v>83.061999999999998</v>
      </c>
      <c r="U104" s="27">
        <f t="shared" si="7"/>
        <v>116</v>
      </c>
    </row>
    <row r="105" spans="3:21" x14ac:dyDescent="0.25">
      <c r="C105" s="2" t="s">
        <v>125</v>
      </c>
      <c r="D105" s="2">
        <v>4</v>
      </c>
      <c r="E105" s="2" t="s">
        <v>14</v>
      </c>
      <c r="F105" s="2" t="s">
        <v>122</v>
      </c>
      <c r="G105" s="3">
        <v>10.09</v>
      </c>
      <c r="H105" s="3">
        <v>4.37</v>
      </c>
      <c r="I105" s="3">
        <v>21.67</v>
      </c>
      <c r="J105" s="3">
        <v>11.81</v>
      </c>
      <c r="K105" s="3">
        <v>19.47</v>
      </c>
      <c r="L105" s="21">
        <v>16.66</v>
      </c>
      <c r="M105" s="3">
        <v>1.71</v>
      </c>
      <c r="N105" s="2" t="s">
        <v>16</v>
      </c>
      <c r="O105" s="4" t="s">
        <v>28</v>
      </c>
      <c r="P105" s="18" t="s">
        <v>18</v>
      </c>
      <c r="Q105" s="5">
        <f t="shared" si="4"/>
        <v>18.402999999999999</v>
      </c>
      <c r="R105" s="5">
        <f t="shared" si="5"/>
        <v>14.234999999999999</v>
      </c>
      <c r="S105" s="5">
        <f t="shared" si="6"/>
        <v>10.59</v>
      </c>
      <c r="T105" s="23">
        <f>('Investor-Inputs'!$G$19 * Q105) + ('Investor-Inputs'!$J$19 * R105) + ('Investor-Inputs'!$N$19 * S105)</f>
        <v>94.269000000000005</v>
      </c>
      <c r="U105" s="27">
        <f t="shared" si="7"/>
        <v>59</v>
      </c>
    </row>
    <row r="106" spans="3:21" x14ac:dyDescent="0.25">
      <c r="C106" s="2" t="s">
        <v>126</v>
      </c>
      <c r="D106" s="2">
        <v>5</v>
      </c>
      <c r="E106" s="2" t="s">
        <v>14</v>
      </c>
      <c r="F106" s="2" t="s">
        <v>122</v>
      </c>
      <c r="G106" s="3">
        <v>2.1</v>
      </c>
      <c r="H106" s="3">
        <v>-4.21</v>
      </c>
      <c r="I106" s="3">
        <v>17.739999999999998</v>
      </c>
      <c r="J106" s="3">
        <v>8.6999999999999993</v>
      </c>
      <c r="K106" s="3">
        <v>18.510000000000002</v>
      </c>
      <c r="L106" s="21">
        <v>14.3</v>
      </c>
      <c r="M106" s="3">
        <v>2.99</v>
      </c>
      <c r="N106" s="2" t="s">
        <v>16</v>
      </c>
      <c r="O106" s="4" t="s">
        <v>17</v>
      </c>
      <c r="P106" s="18" t="s">
        <v>18</v>
      </c>
      <c r="Q106" s="5">
        <f t="shared" si="4"/>
        <v>16.350999999999999</v>
      </c>
      <c r="R106" s="5">
        <f t="shared" si="5"/>
        <v>11.5</v>
      </c>
      <c r="S106" s="5">
        <f t="shared" si="6"/>
        <v>10.75</v>
      </c>
      <c r="T106" s="23">
        <f>('Investor-Inputs'!$G$19 * Q106) + ('Investor-Inputs'!$J$19 * R106) + ('Investor-Inputs'!$N$19 * S106)</f>
        <v>82.802999999999997</v>
      </c>
      <c r="U106" s="27">
        <f t="shared" si="7"/>
        <v>120</v>
      </c>
    </row>
    <row r="107" spans="3:21" x14ac:dyDescent="0.25">
      <c r="C107" s="2" t="s">
        <v>127</v>
      </c>
      <c r="D107" s="2">
        <v>4</v>
      </c>
      <c r="E107" s="2" t="s">
        <v>14</v>
      </c>
      <c r="F107" s="2" t="s">
        <v>122</v>
      </c>
      <c r="G107" s="3">
        <v>5.61</v>
      </c>
      <c r="H107" s="3">
        <v>-1.69</v>
      </c>
      <c r="I107" s="3">
        <v>18.43</v>
      </c>
      <c r="J107" s="3">
        <v>8.5399999999999991</v>
      </c>
      <c r="K107" s="3">
        <v>16.43</v>
      </c>
      <c r="L107" s="21">
        <v>13.63</v>
      </c>
      <c r="M107" s="3">
        <v>2.6</v>
      </c>
      <c r="N107" s="2" t="s">
        <v>16</v>
      </c>
      <c r="O107" s="4" t="s">
        <v>24</v>
      </c>
      <c r="P107" s="18" t="s">
        <v>18</v>
      </c>
      <c r="Q107" s="5">
        <f t="shared" si="4"/>
        <v>15.587</v>
      </c>
      <c r="R107" s="5">
        <f t="shared" si="5"/>
        <v>11.085000000000001</v>
      </c>
      <c r="S107" s="5">
        <f t="shared" si="6"/>
        <v>9.5150000000000006</v>
      </c>
      <c r="T107" s="23">
        <f>('Investor-Inputs'!$G$19 * Q107) + ('Investor-Inputs'!$J$19 * R107) + ('Investor-Inputs'!$N$19 * S107)</f>
        <v>78.445999999999998</v>
      </c>
      <c r="U107" s="27">
        <f t="shared" si="7"/>
        <v>138</v>
      </c>
    </row>
    <row r="108" spans="3:21" x14ac:dyDescent="0.25">
      <c r="C108" s="2" t="s">
        <v>128</v>
      </c>
      <c r="D108" s="2">
        <v>5</v>
      </c>
      <c r="E108" s="2" t="s">
        <v>14</v>
      </c>
      <c r="F108" s="2" t="s">
        <v>122</v>
      </c>
      <c r="G108" s="3">
        <v>18.63</v>
      </c>
      <c r="H108" s="3">
        <v>14.41</v>
      </c>
      <c r="I108" s="3">
        <v>30.67</v>
      </c>
      <c r="J108" s="3">
        <v>18.850000000000001</v>
      </c>
      <c r="K108" s="2"/>
      <c r="L108" s="20"/>
      <c r="M108" s="3">
        <v>1.3</v>
      </c>
      <c r="N108" s="2" t="s">
        <v>16</v>
      </c>
      <c r="O108" s="4" t="s">
        <v>28</v>
      </c>
      <c r="P108" s="18" t="s">
        <v>18</v>
      </c>
      <c r="Q108" s="5">
        <f t="shared" si="4"/>
        <v>12.268000000000001</v>
      </c>
      <c r="R108" s="5">
        <f t="shared" si="5"/>
        <v>9.4250000000000007</v>
      </c>
      <c r="S108" s="5">
        <f t="shared" si="6"/>
        <v>0.65</v>
      </c>
      <c r="T108" s="23">
        <f>('Investor-Inputs'!$G$19 * Q108) + ('Investor-Inputs'!$J$19 * R108) + ('Investor-Inputs'!$N$19 * S108)</f>
        <v>56.304000000000002</v>
      </c>
      <c r="U108" s="27">
        <f t="shared" si="7"/>
        <v>254</v>
      </c>
    </row>
    <row r="109" spans="3:21" x14ac:dyDescent="0.25">
      <c r="C109" s="2" t="s">
        <v>129</v>
      </c>
      <c r="D109" s="2">
        <v>4</v>
      </c>
      <c r="E109" s="2" t="s">
        <v>14</v>
      </c>
      <c r="F109" s="2" t="s">
        <v>122</v>
      </c>
      <c r="G109" s="3">
        <v>3.74</v>
      </c>
      <c r="H109" s="3">
        <v>-0.32</v>
      </c>
      <c r="I109" s="3">
        <v>20.81</v>
      </c>
      <c r="J109" s="3">
        <v>9.3000000000000007</v>
      </c>
      <c r="K109" s="3">
        <v>18.079999999999998</v>
      </c>
      <c r="L109" s="21">
        <v>14.56</v>
      </c>
      <c r="M109" s="3">
        <v>2.3199999999999998</v>
      </c>
      <c r="N109" s="2" t="s">
        <v>16</v>
      </c>
      <c r="O109" s="4" t="s">
        <v>28</v>
      </c>
      <c r="P109" s="18" t="s">
        <v>18</v>
      </c>
      <c r="Q109" s="5">
        <f t="shared" si="4"/>
        <v>17.363999999999997</v>
      </c>
      <c r="R109" s="5">
        <f t="shared" si="5"/>
        <v>11.93</v>
      </c>
      <c r="S109" s="5">
        <f t="shared" si="6"/>
        <v>10.199999999999999</v>
      </c>
      <c r="T109" s="23">
        <f>('Investor-Inputs'!$G$19 * Q109) + ('Investor-Inputs'!$J$19 * R109) + ('Investor-Inputs'!$N$19 * S109)</f>
        <v>86.152000000000001</v>
      </c>
      <c r="U109" s="27">
        <f t="shared" si="7"/>
        <v>104</v>
      </c>
    </row>
    <row r="110" spans="3:21" x14ac:dyDescent="0.25">
      <c r="C110" s="2" t="s">
        <v>130</v>
      </c>
      <c r="D110" s="2">
        <v>5</v>
      </c>
      <c r="E110" s="2" t="s">
        <v>14</v>
      </c>
      <c r="F110" s="2" t="s">
        <v>122</v>
      </c>
      <c r="G110" s="3">
        <v>0.88</v>
      </c>
      <c r="H110" s="3">
        <v>-4.16</v>
      </c>
      <c r="I110" s="3">
        <v>16.399999999999999</v>
      </c>
      <c r="J110" s="3">
        <v>6.07</v>
      </c>
      <c r="K110" s="3">
        <v>19.22</v>
      </c>
      <c r="L110" s="21">
        <v>13.41</v>
      </c>
      <c r="M110" s="3">
        <v>1.48</v>
      </c>
      <c r="N110" s="2" t="s">
        <v>16</v>
      </c>
      <c r="O110" s="4" t="s">
        <v>17</v>
      </c>
      <c r="P110" s="18" t="s">
        <v>18</v>
      </c>
      <c r="Q110" s="5">
        <f t="shared" si="4"/>
        <v>16.169999999999998</v>
      </c>
      <c r="R110" s="5">
        <f t="shared" si="5"/>
        <v>9.74</v>
      </c>
      <c r="S110" s="5">
        <f t="shared" si="6"/>
        <v>10.35</v>
      </c>
      <c r="T110" s="23">
        <f>('Investor-Inputs'!$G$19 * Q110) + ('Investor-Inputs'!$J$19 * R110) + ('Investor-Inputs'!$N$19 * S110)</f>
        <v>78.339999999999989</v>
      </c>
      <c r="U110" s="27">
        <f t="shared" si="7"/>
        <v>140</v>
      </c>
    </row>
    <row r="111" spans="3:21" x14ac:dyDescent="0.25">
      <c r="C111" s="2" t="s">
        <v>131</v>
      </c>
      <c r="D111" s="2">
        <v>4</v>
      </c>
      <c r="E111" s="2" t="s">
        <v>14</v>
      </c>
      <c r="F111" s="2" t="s">
        <v>132</v>
      </c>
      <c r="G111" s="3">
        <v>3.14</v>
      </c>
      <c r="H111" s="3">
        <v>-0.96</v>
      </c>
      <c r="I111" s="3">
        <v>13.9</v>
      </c>
      <c r="J111" s="3">
        <v>5.6</v>
      </c>
      <c r="K111" s="3">
        <v>14.19</v>
      </c>
      <c r="L111" s="21">
        <v>10.15</v>
      </c>
      <c r="M111" s="3">
        <v>2.12</v>
      </c>
      <c r="N111" s="2" t="s">
        <v>16</v>
      </c>
      <c r="O111" s="4" t="s">
        <v>24</v>
      </c>
      <c r="P111" s="18" t="s">
        <v>18</v>
      </c>
      <c r="Q111" s="5">
        <f t="shared" si="4"/>
        <v>12.655000000000001</v>
      </c>
      <c r="R111" s="5">
        <f t="shared" si="5"/>
        <v>7.875</v>
      </c>
      <c r="S111" s="5">
        <f t="shared" si="6"/>
        <v>8.1549999999999994</v>
      </c>
      <c r="T111" s="23">
        <f>('Investor-Inputs'!$G$19 * Q111) + ('Investor-Inputs'!$J$19 * R111) + ('Investor-Inputs'!$N$19 * S111)</f>
        <v>61.870000000000005</v>
      </c>
      <c r="U111" s="27">
        <f t="shared" si="7"/>
        <v>228</v>
      </c>
    </row>
    <row r="112" spans="3:21" x14ac:dyDescent="0.25">
      <c r="C112" s="2" t="s">
        <v>133</v>
      </c>
      <c r="D112" s="2">
        <v>4</v>
      </c>
      <c r="E112" s="2" t="s">
        <v>14</v>
      </c>
      <c r="F112" s="2" t="s">
        <v>132</v>
      </c>
      <c r="G112" s="3">
        <v>6.36</v>
      </c>
      <c r="H112" s="3">
        <v>2.29</v>
      </c>
      <c r="I112" s="3">
        <v>18.010000000000002</v>
      </c>
      <c r="J112" s="3">
        <v>9.65</v>
      </c>
      <c r="K112" s="3">
        <v>14.12</v>
      </c>
      <c r="L112" s="21">
        <v>12.4</v>
      </c>
      <c r="M112" s="3">
        <v>2.31</v>
      </c>
      <c r="N112" s="2" t="s">
        <v>16</v>
      </c>
      <c r="O112" s="4" t="s">
        <v>17</v>
      </c>
      <c r="P112" s="18" t="s">
        <v>18</v>
      </c>
      <c r="Q112" s="5">
        <f t="shared" si="4"/>
        <v>14.263999999999999</v>
      </c>
      <c r="R112" s="5">
        <f t="shared" si="5"/>
        <v>11.025</v>
      </c>
      <c r="S112" s="5">
        <f t="shared" si="6"/>
        <v>8.2149999999999999</v>
      </c>
      <c r="T112" s="23">
        <f>('Investor-Inputs'!$G$19 * Q112) + ('Investor-Inputs'!$J$19 * R112) + ('Investor-Inputs'!$N$19 * S112)</f>
        <v>73.057000000000002</v>
      </c>
      <c r="U112" s="27">
        <f t="shared" si="7"/>
        <v>176</v>
      </c>
    </row>
    <row r="113" spans="3:21" x14ac:dyDescent="0.25">
      <c r="C113" s="2" t="s">
        <v>134</v>
      </c>
      <c r="D113" s="2">
        <v>4</v>
      </c>
      <c r="E113" s="2" t="s">
        <v>14</v>
      </c>
      <c r="F113" s="2" t="s">
        <v>132</v>
      </c>
      <c r="G113" s="3">
        <v>0.61</v>
      </c>
      <c r="H113" s="3">
        <v>-4.0999999999999996</v>
      </c>
      <c r="I113" s="3">
        <v>17.86</v>
      </c>
      <c r="J113" s="3">
        <v>8.02</v>
      </c>
      <c r="K113" s="3">
        <v>15.3</v>
      </c>
      <c r="L113" s="21">
        <v>12.36</v>
      </c>
      <c r="M113" s="3">
        <v>1.81</v>
      </c>
      <c r="N113" s="2" t="s">
        <v>16</v>
      </c>
      <c r="O113" s="4" t="s">
        <v>17</v>
      </c>
      <c r="P113" s="18" t="s">
        <v>18</v>
      </c>
      <c r="Q113" s="5">
        <f t="shared" si="4"/>
        <v>14.794</v>
      </c>
      <c r="R113" s="5">
        <f t="shared" si="5"/>
        <v>10.19</v>
      </c>
      <c r="S113" s="5">
        <f t="shared" si="6"/>
        <v>8.5549999999999997</v>
      </c>
      <c r="T113" s="23">
        <f>('Investor-Inputs'!$G$19 * Q113) + ('Investor-Inputs'!$J$19 * R113) + ('Investor-Inputs'!$N$19 * S113)</f>
        <v>73.317000000000007</v>
      </c>
      <c r="U113" s="27">
        <f t="shared" si="7"/>
        <v>174</v>
      </c>
    </row>
    <row r="114" spans="3:21" x14ac:dyDescent="0.25">
      <c r="C114" s="2" t="s">
        <v>135</v>
      </c>
      <c r="D114" s="2">
        <v>4</v>
      </c>
      <c r="E114" s="2" t="s">
        <v>14</v>
      </c>
      <c r="F114" s="2" t="s">
        <v>132</v>
      </c>
      <c r="G114" s="3">
        <v>-2.77</v>
      </c>
      <c r="H114" s="3">
        <v>-7.99</v>
      </c>
      <c r="I114" s="3">
        <v>15.53</v>
      </c>
      <c r="J114" s="3">
        <v>4.93</v>
      </c>
      <c r="K114" s="3">
        <v>14.72</v>
      </c>
      <c r="L114" s="21">
        <v>10.67</v>
      </c>
      <c r="M114" s="3">
        <v>1.83</v>
      </c>
      <c r="N114" s="2" t="s">
        <v>16</v>
      </c>
      <c r="O114" s="4" t="s">
        <v>24</v>
      </c>
      <c r="P114" s="18" t="s">
        <v>18</v>
      </c>
      <c r="Q114" s="5">
        <f t="shared" si="4"/>
        <v>13.571999999999999</v>
      </c>
      <c r="R114" s="5">
        <f t="shared" si="5"/>
        <v>7.8</v>
      </c>
      <c r="S114" s="5">
        <f t="shared" si="6"/>
        <v>8.2750000000000004</v>
      </c>
      <c r="T114" s="23">
        <f>('Investor-Inputs'!$G$19 * Q114) + ('Investor-Inputs'!$J$19 * R114) + ('Investor-Inputs'!$N$19 * S114)</f>
        <v>64.590999999999994</v>
      </c>
      <c r="U114" s="27">
        <f t="shared" si="7"/>
        <v>208</v>
      </c>
    </row>
    <row r="115" spans="3:21" x14ac:dyDescent="0.25">
      <c r="C115" s="2" t="s">
        <v>136</v>
      </c>
      <c r="D115" s="2">
        <v>5</v>
      </c>
      <c r="E115" s="2" t="s">
        <v>14</v>
      </c>
      <c r="F115" s="2" t="s">
        <v>132</v>
      </c>
      <c r="G115" s="3">
        <v>-2.14</v>
      </c>
      <c r="H115" s="3">
        <v>-8.99</v>
      </c>
      <c r="I115" s="3">
        <v>17.36</v>
      </c>
      <c r="J115" s="3">
        <v>7</v>
      </c>
      <c r="K115" s="3">
        <v>17.97</v>
      </c>
      <c r="L115" s="21">
        <v>13.3</v>
      </c>
      <c r="M115" s="3">
        <v>1.69</v>
      </c>
      <c r="N115" s="2" t="s">
        <v>16</v>
      </c>
      <c r="O115" s="4" t="s">
        <v>17</v>
      </c>
      <c r="P115" s="18" t="s">
        <v>18</v>
      </c>
      <c r="Q115" s="5">
        <f t="shared" si="4"/>
        <v>15.928999999999998</v>
      </c>
      <c r="R115" s="5">
        <f t="shared" si="5"/>
        <v>10.15</v>
      </c>
      <c r="S115" s="5">
        <f t="shared" si="6"/>
        <v>9.83</v>
      </c>
      <c r="T115" s="23">
        <f>('Investor-Inputs'!$G$19 * Q115) + ('Investor-Inputs'!$J$19 * R115) + ('Investor-Inputs'!$N$19 * S115)</f>
        <v>77.916999999999987</v>
      </c>
      <c r="U115" s="27">
        <f t="shared" si="7"/>
        <v>146</v>
      </c>
    </row>
    <row r="116" spans="3:21" x14ac:dyDescent="0.25">
      <c r="C116" s="2" t="s">
        <v>137</v>
      </c>
      <c r="D116" s="2">
        <v>4</v>
      </c>
      <c r="E116" s="2" t="s">
        <v>14</v>
      </c>
      <c r="F116" s="2" t="s">
        <v>132</v>
      </c>
      <c r="G116" s="3">
        <v>6.74</v>
      </c>
      <c r="H116" s="3">
        <v>0.87</v>
      </c>
      <c r="I116" s="3">
        <v>18.21</v>
      </c>
      <c r="J116" s="3">
        <v>9.58</v>
      </c>
      <c r="K116" s="3">
        <v>14.59</v>
      </c>
      <c r="L116" s="21">
        <v>13.03</v>
      </c>
      <c r="M116" s="3">
        <v>2.06</v>
      </c>
      <c r="N116" s="2" t="s">
        <v>16</v>
      </c>
      <c r="O116" s="4" t="s">
        <v>17</v>
      </c>
      <c r="P116" s="18" t="s">
        <v>18</v>
      </c>
      <c r="Q116" s="5">
        <f t="shared" si="4"/>
        <v>14.579000000000001</v>
      </c>
      <c r="R116" s="5">
        <f t="shared" si="5"/>
        <v>11.305</v>
      </c>
      <c r="S116" s="5">
        <f t="shared" si="6"/>
        <v>8.3249999999999993</v>
      </c>
      <c r="T116" s="23">
        <f>('Investor-Inputs'!$G$19 * Q116) + ('Investor-Inputs'!$J$19 * R116) + ('Investor-Inputs'!$N$19 * S116)</f>
        <v>74.672000000000011</v>
      </c>
      <c r="U116" s="27">
        <f t="shared" si="7"/>
        <v>164</v>
      </c>
    </row>
    <row r="117" spans="3:21" x14ac:dyDescent="0.25">
      <c r="C117" s="2" t="s">
        <v>138</v>
      </c>
      <c r="D117" s="2">
        <v>4</v>
      </c>
      <c r="E117" s="2" t="s">
        <v>14</v>
      </c>
      <c r="F117" s="2" t="s">
        <v>132</v>
      </c>
      <c r="G117" s="3">
        <v>4.49</v>
      </c>
      <c r="H117" s="3">
        <v>-1.56</v>
      </c>
      <c r="I117" s="3">
        <v>17.850000000000001</v>
      </c>
      <c r="J117" s="3">
        <v>7.12</v>
      </c>
      <c r="K117" s="3">
        <v>15.37</v>
      </c>
      <c r="L117" s="21">
        <v>12.17</v>
      </c>
      <c r="M117" s="3">
        <v>2.58</v>
      </c>
      <c r="N117" s="2" t="s">
        <v>16</v>
      </c>
      <c r="O117" s="4" t="s">
        <v>17</v>
      </c>
      <c r="P117" s="18" t="s">
        <v>18</v>
      </c>
      <c r="Q117" s="5">
        <f t="shared" si="4"/>
        <v>14.824999999999999</v>
      </c>
      <c r="R117" s="5">
        <f t="shared" si="5"/>
        <v>9.6449999999999996</v>
      </c>
      <c r="S117" s="5">
        <f t="shared" si="6"/>
        <v>8.9749999999999996</v>
      </c>
      <c r="T117" s="23">
        <f>('Investor-Inputs'!$G$19 * Q117) + ('Investor-Inputs'!$J$19 * R117) + ('Investor-Inputs'!$N$19 * S117)</f>
        <v>72.739999999999995</v>
      </c>
      <c r="U117" s="27">
        <f t="shared" si="7"/>
        <v>180</v>
      </c>
    </row>
    <row r="118" spans="3:21" x14ac:dyDescent="0.25">
      <c r="C118" s="2" t="s">
        <v>139</v>
      </c>
      <c r="D118" s="2">
        <v>5</v>
      </c>
      <c r="E118" s="2" t="s">
        <v>14</v>
      </c>
      <c r="F118" s="2" t="s">
        <v>132</v>
      </c>
      <c r="G118" s="3">
        <v>15.5</v>
      </c>
      <c r="H118" s="3">
        <v>13.38</v>
      </c>
      <c r="I118" s="3">
        <v>24.83</v>
      </c>
      <c r="J118" s="3">
        <v>15.29</v>
      </c>
      <c r="K118" s="3">
        <v>19.41</v>
      </c>
      <c r="L118" s="21">
        <v>18.43</v>
      </c>
      <c r="M118" s="3">
        <v>1.99</v>
      </c>
      <c r="N118" s="2" t="s">
        <v>16</v>
      </c>
      <c r="O118" s="4" t="s">
        <v>28</v>
      </c>
      <c r="P118" s="18" t="s">
        <v>18</v>
      </c>
      <c r="Q118" s="5">
        <f t="shared" si="4"/>
        <v>19.637</v>
      </c>
      <c r="R118" s="5">
        <f t="shared" si="5"/>
        <v>16.86</v>
      </c>
      <c r="S118" s="5">
        <f t="shared" si="6"/>
        <v>10.7</v>
      </c>
      <c r="T118" s="23">
        <f>('Investor-Inputs'!$G$19 * Q118) + ('Investor-Inputs'!$J$19 * R118) + ('Investor-Inputs'!$N$19 * S118)</f>
        <v>103.331</v>
      </c>
      <c r="U118" s="27">
        <f t="shared" si="7"/>
        <v>43</v>
      </c>
    </row>
    <row r="119" spans="3:21" x14ac:dyDescent="0.25">
      <c r="C119" s="2" t="s">
        <v>140</v>
      </c>
      <c r="D119" s="2">
        <v>4</v>
      </c>
      <c r="E119" s="2" t="s">
        <v>14</v>
      </c>
      <c r="F119" s="2" t="s">
        <v>132</v>
      </c>
      <c r="G119" s="3">
        <v>5.57</v>
      </c>
      <c r="H119" s="3">
        <v>1.93</v>
      </c>
      <c r="I119" s="3">
        <v>17.239999999999998</v>
      </c>
      <c r="J119" s="3">
        <v>8.76</v>
      </c>
      <c r="K119" s="3">
        <v>15.46</v>
      </c>
      <c r="L119" s="21">
        <v>12.52</v>
      </c>
      <c r="M119" s="3">
        <v>1.88</v>
      </c>
      <c r="N119" s="2" t="s">
        <v>16</v>
      </c>
      <c r="O119" s="4" t="s">
        <v>17</v>
      </c>
      <c r="P119" s="18" t="s">
        <v>18</v>
      </c>
      <c r="Q119" s="5">
        <f t="shared" si="4"/>
        <v>14.626000000000001</v>
      </c>
      <c r="R119" s="5">
        <f t="shared" si="5"/>
        <v>10.64</v>
      </c>
      <c r="S119" s="5">
        <f t="shared" si="6"/>
        <v>8.67</v>
      </c>
      <c r="T119" s="23">
        <f>('Investor-Inputs'!$G$19 * Q119) + ('Investor-Inputs'!$J$19 * R119) + ('Investor-Inputs'!$N$19 * S119)</f>
        <v>73.828000000000003</v>
      </c>
      <c r="U119" s="27">
        <f t="shared" si="7"/>
        <v>170</v>
      </c>
    </row>
    <row r="120" spans="3:21" x14ac:dyDescent="0.25">
      <c r="C120" s="2" t="s">
        <v>141</v>
      </c>
      <c r="D120" s="2">
        <v>5</v>
      </c>
      <c r="E120" s="2" t="s">
        <v>14</v>
      </c>
      <c r="F120" s="2" t="s">
        <v>132</v>
      </c>
      <c r="G120" s="3">
        <v>-3.56</v>
      </c>
      <c r="H120" s="3">
        <v>-9.66</v>
      </c>
      <c r="I120" s="3">
        <v>12.72</v>
      </c>
      <c r="J120" s="3">
        <v>4.3</v>
      </c>
      <c r="K120" s="3">
        <v>14.65</v>
      </c>
      <c r="L120" s="21">
        <v>9.91</v>
      </c>
      <c r="M120" s="3">
        <v>1.79</v>
      </c>
      <c r="N120" s="2" t="s">
        <v>16</v>
      </c>
      <c r="O120" s="4" t="s">
        <v>24</v>
      </c>
      <c r="P120" s="18" t="s">
        <v>18</v>
      </c>
      <c r="Q120" s="5">
        <f t="shared" si="4"/>
        <v>12.413</v>
      </c>
      <c r="R120" s="5">
        <f t="shared" si="5"/>
        <v>7.1050000000000004</v>
      </c>
      <c r="S120" s="5">
        <f t="shared" si="6"/>
        <v>8.2200000000000006</v>
      </c>
      <c r="T120" s="23">
        <f>('Investor-Inputs'!$G$19 * Q120) + ('Investor-Inputs'!$J$19 * R120) + ('Investor-Inputs'!$N$19 * S120)</f>
        <v>59.669000000000004</v>
      </c>
      <c r="U120" s="27">
        <f t="shared" si="7"/>
        <v>242</v>
      </c>
    </row>
    <row r="121" spans="3:21" x14ac:dyDescent="0.25">
      <c r="C121" s="2" t="s">
        <v>142</v>
      </c>
      <c r="D121" s="2">
        <v>4</v>
      </c>
      <c r="E121" s="2" t="s">
        <v>14</v>
      </c>
      <c r="F121" s="2" t="s">
        <v>132</v>
      </c>
      <c r="G121" s="3">
        <v>-3.15</v>
      </c>
      <c r="H121" s="3">
        <v>-8.5399999999999991</v>
      </c>
      <c r="I121" s="3">
        <v>14.05</v>
      </c>
      <c r="J121" s="3">
        <v>4.1100000000000003</v>
      </c>
      <c r="K121" s="3">
        <v>12.16</v>
      </c>
      <c r="L121" s="21">
        <v>9.3000000000000007</v>
      </c>
      <c r="M121" s="3">
        <v>2.1</v>
      </c>
      <c r="N121" s="2" t="s">
        <v>16</v>
      </c>
      <c r="O121" s="4" t="s">
        <v>24</v>
      </c>
      <c r="P121" s="18" t="s">
        <v>18</v>
      </c>
      <c r="Q121" s="5">
        <f t="shared" si="4"/>
        <v>11.700000000000001</v>
      </c>
      <c r="R121" s="5">
        <f t="shared" si="5"/>
        <v>6.7050000000000001</v>
      </c>
      <c r="S121" s="5">
        <f t="shared" si="6"/>
        <v>7.13</v>
      </c>
      <c r="T121" s="23">
        <f>('Investor-Inputs'!$G$19 * Q121) + ('Investor-Inputs'!$J$19 * R121) + ('Investor-Inputs'!$N$19 * S121)</f>
        <v>55.640000000000008</v>
      </c>
      <c r="U121" s="27">
        <f t="shared" si="7"/>
        <v>260</v>
      </c>
    </row>
    <row r="122" spans="3:21" x14ac:dyDescent="0.25">
      <c r="C122" s="2" t="s">
        <v>143</v>
      </c>
      <c r="D122" s="2">
        <v>5</v>
      </c>
      <c r="E122" s="2" t="s">
        <v>14</v>
      </c>
      <c r="F122" s="2" t="s">
        <v>132</v>
      </c>
      <c r="G122" s="3">
        <v>2.2000000000000002</v>
      </c>
      <c r="H122" s="3">
        <v>-2.81</v>
      </c>
      <c r="I122" s="3">
        <v>20.64</v>
      </c>
      <c r="J122" s="3">
        <v>8.86</v>
      </c>
      <c r="K122" s="3">
        <v>18.489999999999998</v>
      </c>
      <c r="L122" s="21">
        <v>15.28</v>
      </c>
      <c r="M122" s="3">
        <v>1.62</v>
      </c>
      <c r="N122" s="2" t="s">
        <v>16</v>
      </c>
      <c r="O122" s="4" t="s">
        <v>28</v>
      </c>
      <c r="P122" s="18" t="s">
        <v>18</v>
      </c>
      <c r="Q122" s="5">
        <f t="shared" si="4"/>
        <v>17.500999999999998</v>
      </c>
      <c r="R122" s="5">
        <f t="shared" si="5"/>
        <v>12.07</v>
      </c>
      <c r="S122" s="5">
        <f t="shared" si="6"/>
        <v>10.055</v>
      </c>
      <c r="T122" s="23">
        <f>('Investor-Inputs'!$G$19 * Q122) + ('Investor-Inputs'!$J$19 * R122) + ('Investor-Inputs'!$N$19 * S122)</f>
        <v>86.698000000000008</v>
      </c>
      <c r="U122" s="27">
        <f t="shared" si="7"/>
        <v>95</v>
      </c>
    </row>
    <row r="123" spans="3:21" x14ac:dyDescent="0.25">
      <c r="C123" s="2" t="s">
        <v>144</v>
      </c>
      <c r="D123" s="2">
        <v>5</v>
      </c>
      <c r="E123" s="2" t="s">
        <v>14</v>
      </c>
      <c r="F123" s="2" t="s">
        <v>132</v>
      </c>
      <c r="G123" s="3">
        <v>2.7</v>
      </c>
      <c r="H123" s="3">
        <v>-3.52</v>
      </c>
      <c r="I123" s="3">
        <v>18.48</v>
      </c>
      <c r="J123" s="3">
        <v>8.5500000000000007</v>
      </c>
      <c r="K123" s="2"/>
      <c r="L123" s="20"/>
      <c r="M123" s="3">
        <v>2.66</v>
      </c>
      <c r="N123" s="2" t="s">
        <v>16</v>
      </c>
      <c r="O123" s="4" t="s">
        <v>28</v>
      </c>
      <c r="P123" s="18" t="s">
        <v>18</v>
      </c>
      <c r="Q123" s="5">
        <f t="shared" si="4"/>
        <v>7.3920000000000003</v>
      </c>
      <c r="R123" s="5">
        <f t="shared" si="5"/>
        <v>4.2750000000000004</v>
      </c>
      <c r="S123" s="5">
        <f t="shared" si="6"/>
        <v>1.33</v>
      </c>
      <c r="T123" s="23">
        <f>('Investor-Inputs'!$G$19 * Q123) + ('Investor-Inputs'!$J$19 * R123) + ('Investor-Inputs'!$N$19 * S123)</f>
        <v>32.056000000000004</v>
      </c>
      <c r="U123" s="27">
        <f t="shared" si="7"/>
        <v>502</v>
      </c>
    </row>
    <row r="124" spans="3:21" x14ac:dyDescent="0.25">
      <c r="C124" s="2" t="s">
        <v>145</v>
      </c>
      <c r="D124" s="2">
        <v>5</v>
      </c>
      <c r="E124" s="2" t="s">
        <v>14</v>
      </c>
      <c r="F124" s="2" t="s">
        <v>146</v>
      </c>
      <c r="G124" s="3">
        <v>8.19</v>
      </c>
      <c r="H124" s="3">
        <v>2.93</v>
      </c>
      <c r="I124" s="3">
        <v>19.11</v>
      </c>
      <c r="J124" s="3">
        <v>12.64</v>
      </c>
      <c r="K124" s="3">
        <v>15.98</v>
      </c>
      <c r="L124" s="21">
        <v>15.19</v>
      </c>
      <c r="M124" s="3">
        <v>2.0699999999999998</v>
      </c>
      <c r="N124" s="2" t="s">
        <v>16</v>
      </c>
      <c r="O124" s="4" t="s">
        <v>28</v>
      </c>
      <c r="P124" s="18" t="s">
        <v>18</v>
      </c>
      <c r="Q124" s="5">
        <f t="shared" si="4"/>
        <v>15.634</v>
      </c>
      <c r="R124" s="5">
        <f t="shared" si="5"/>
        <v>13.914999999999999</v>
      </c>
      <c r="S124" s="5">
        <f t="shared" si="6"/>
        <v>9.0250000000000004</v>
      </c>
      <c r="T124" s="23">
        <f>('Investor-Inputs'!$G$19 * Q124) + ('Investor-Inputs'!$J$19 * R124) + ('Investor-Inputs'!$N$19 * S124)</f>
        <v>83.757000000000005</v>
      </c>
      <c r="U124" s="27">
        <f t="shared" si="7"/>
        <v>114</v>
      </c>
    </row>
    <row r="125" spans="3:21" x14ac:dyDescent="0.25">
      <c r="C125" s="2" t="s">
        <v>147</v>
      </c>
      <c r="D125" s="2">
        <v>4</v>
      </c>
      <c r="E125" s="2" t="s">
        <v>14</v>
      </c>
      <c r="F125" s="2" t="s">
        <v>146</v>
      </c>
      <c r="G125" s="3">
        <v>7.33</v>
      </c>
      <c r="H125" s="3">
        <v>-1.24</v>
      </c>
      <c r="I125" s="3">
        <v>19.38</v>
      </c>
      <c r="J125" s="3">
        <v>10.02</v>
      </c>
      <c r="K125" s="2"/>
      <c r="L125" s="20"/>
      <c r="M125" s="3">
        <v>1.31</v>
      </c>
      <c r="N125" s="2" t="s">
        <v>16</v>
      </c>
      <c r="O125" s="4" t="s">
        <v>28</v>
      </c>
      <c r="P125" s="18" t="s">
        <v>18</v>
      </c>
      <c r="Q125" s="5">
        <f t="shared" si="4"/>
        <v>7.7519999999999998</v>
      </c>
      <c r="R125" s="5">
        <f t="shared" si="5"/>
        <v>5.01</v>
      </c>
      <c r="S125" s="5">
        <f t="shared" si="6"/>
        <v>0.65500000000000003</v>
      </c>
      <c r="T125" s="23">
        <f>('Investor-Inputs'!$G$19 * Q125) + ('Investor-Inputs'!$J$19 * R125) + ('Investor-Inputs'!$N$19 * S125)</f>
        <v>33.930999999999997</v>
      </c>
      <c r="U125" s="27">
        <f t="shared" si="7"/>
        <v>434</v>
      </c>
    </row>
    <row r="126" spans="3:21" x14ac:dyDescent="0.25">
      <c r="C126" s="2" t="s">
        <v>148</v>
      </c>
      <c r="D126" s="2">
        <v>4</v>
      </c>
      <c r="E126" s="2" t="s">
        <v>14</v>
      </c>
      <c r="F126" s="2" t="s">
        <v>146</v>
      </c>
      <c r="G126" s="3">
        <v>2.0499999999999998</v>
      </c>
      <c r="H126" s="3">
        <v>-2.4700000000000002</v>
      </c>
      <c r="I126" s="3">
        <v>15.47</v>
      </c>
      <c r="J126" s="3">
        <v>8.75</v>
      </c>
      <c r="K126" s="3">
        <v>16.440000000000001</v>
      </c>
      <c r="L126" s="21">
        <v>12.83</v>
      </c>
      <c r="M126" s="3">
        <v>1.79</v>
      </c>
      <c r="N126" s="2" t="s">
        <v>16</v>
      </c>
      <c r="O126" s="4" t="s">
        <v>17</v>
      </c>
      <c r="P126" s="18" t="s">
        <v>18</v>
      </c>
      <c r="Q126" s="5">
        <f t="shared" si="4"/>
        <v>14.408000000000001</v>
      </c>
      <c r="R126" s="5">
        <f t="shared" si="5"/>
        <v>10.79</v>
      </c>
      <c r="S126" s="5">
        <f t="shared" si="6"/>
        <v>9.1150000000000002</v>
      </c>
      <c r="T126" s="23">
        <f>('Investor-Inputs'!$G$19 * Q126) + ('Investor-Inputs'!$J$19 * R126) + ('Investor-Inputs'!$N$19 * S126)</f>
        <v>73.918999999999997</v>
      </c>
      <c r="U126" s="27">
        <f t="shared" si="7"/>
        <v>168</v>
      </c>
    </row>
    <row r="127" spans="3:21" x14ac:dyDescent="0.25">
      <c r="C127" s="2" t="s">
        <v>149</v>
      </c>
      <c r="D127" s="2">
        <v>4</v>
      </c>
      <c r="E127" s="2" t="s">
        <v>14</v>
      </c>
      <c r="F127" s="2" t="s">
        <v>146</v>
      </c>
      <c r="G127" s="3">
        <v>5.93</v>
      </c>
      <c r="H127" s="3">
        <v>-1.51</v>
      </c>
      <c r="I127" s="3">
        <v>17.559999999999999</v>
      </c>
      <c r="J127" s="3">
        <v>11.94</v>
      </c>
      <c r="K127" s="3">
        <v>14.01</v>
      </c>
      <c r="L127" s="21">
        <v>13.86</v>
      </c>
      <c r="M127" s="3">
        <v>2.02</v>
      </c>
      <c r="N127" s="2" t="s">
        <v>16</v>
      </c>
      <c r="O127" s="4" t="s">
        <v>17</v>
      </c>
      <c r="P127" s="18" t="s">
        <v>18</v>
      </c>
      <c r="Q127" s="5">
        <f t="shared" si="4"/>
        <v>14.029</v>
      </c>
      <c r="R127" s="5">
        <f t="shared" si="5"/>
        <v>12.899999999999999</v>
      </c>
      <c r="S127" s="5">
        <f t="shared" si="6"/>
        <v>8.0150000000000006</v>
      </c>
      <c r="T127" s="23">
        <f>('Investor-Inputs'!$G$19 * Q127) + ('Investor-Inputs'!$J$19 * R127) + ('Investor-Inputs'!$N$19 * S127)</f>
        <v>75.902000000000001</v>
      </c>
      <c r="U127" s="27">
        <f t="shared" si="7"/>
        <v>154</v>
      </c>
    </row>
    <row r="128" spans="3:21" x14ac:dyDescent="0.25">
      <c r="C128" s="2" t="s">
        <v>150</v>
      </c>
      <c r="D128" s="2">
        <v>4</v>
      </c>
      <c r="E128" s="2" t="s">
        <v>14</v>
      </c>
      <c r="F128" s="2" t="s">
        <v>146</v>
      </c>
      <c r="G128" s="3">
        <v>2.25</v>
      </c>
      <c r="H128" s="3">
        <v>-0.5</v>
      </c>
      <c r="I128" s="3">
        <v>15.66</v>
      </c>
      <c r="J128" s="3">
        <v>8.2799999999999994</v>
      </c>
      <c r="K128" s="3">
        <v>14.74</v>
      </c>
      <c r="L128" s="21">
        <v>12.85</v>
      </c>
      <c r="M128" s="3">
        <v>2.08</v>
      </c>
      <c r="N128" s="2" t="s">
        <v>16</v>
      </c>
      <c r="O128" s="4" t="s">
        <v>17</v>
      </c>
      <c r="P128" s="18" t="s">
        <v>18</v>
      </c>
      <c r="Q128" s="5">
        <f t="shared" si="4"/>
        <v>13.634</v>
      </c>
      <c r="R128" s="5">
        <f t="shared" si="5"/>
        <v>10.565</v>
      </c>
      <c r="S128" s="5">
        <f t="shared" si="6"/>
        <v>8.41</v>
      </c>
      <c r="T128" s="23">
        <f>('Investor-Inputs'!$G$19 * Q128) + ('Investor-Inputs'!$J$19 * R128) + ('Investor-Inputs'!$N$19 * S128)</f>
        <v>70.441999999999993</v>
      </c>
      <c r="U128" s="27">
        <f t="shared" si="7"/>
        <v>190</v>
      </c>
    </row>
    <row r="129" spans="3:21" x14ac:dyDescent="0.25">
      <c r="C129" s="2" t="s">
        <v>151</v>
      </c>
      <c r="D129" s="2">
        <v>5</v>
      </c>
      <c r="E129" s="2" t="s">
        <v>14</v>
      </c>
      <c r="F129" s="2" t="s">
        <v>152</v>
      </c>
      <c r="G129" s="3">
        <v>7.1</v>
      </c>
      <c r="H129" s="3">
        <v>5.38</v>
      </c>
      <c r="I129" s="3">
        <v>27.02</v>
      </c>
      <c r="J129" s="3">
        <v>15.8</v>
      </c>
      <c r="K129" s="3">
        <v>16.23</v>
      </c>
      <c r="L129" s="21">
        <v>18.239999999999998</v>
      </c>
      <c r="M129" s="3">
        <v>2.08</v>
      </c>
      <c r="N129" s="2" t="s">
        <v>16</v>
      </c>
      <c r="O129" s="4" t="s">
        <v>28</v>
      </c>
      <c r="P129" s="18" t="s">
        <v>18</v>
      </c>
      <c r="Q129" s="5">
        <f t="shared" si="4"/>
        <v>18.923000000000002</v>
      </c>
      <c r="R129" s="5">
        <f t="shared" si="5"/>
        <v>17.02</v>
      </c>
      <c r="S129" s="5">
        <f t="shared" si="6"/>
        <v>9.1550000000000011</v>
      </c>
      <c r="T129" s="23">
        <f>('Investor-Inputs'!$G$19 * Q129) + ('Investor-Inputs'!$J$19 * R129) + ('Investor-Inputs'!$N$19 * S129)</f>
        <v>99.963999999999999</v>
      </c>
      <c r="U129" s="27">
        <f t="shared" si="7"/>
        <v>51</v>
      </c>
    </row>
    <row r="130" spans="3:21" x14ac:dyDescent="0.25">
      <c r="C130" s="2" t="s">
        <v>153</v>
      </c>
      <c r="D130" s="2">
        <v>4</v>
      </c>
      <c r="E130" s="2" t="s">
        <v>14</v>
      </c>
      <c r="F130" s="2" t="s">
        <v>152</v>
      </c>
      <c r="G130" s="3">
        <v>4.5599999999999996</v>
      </c>
      <c r="H130" s="3">
        <v>6.72</v>
      </c>
      <c r="I130" s="3">
        <v>24.83</v>
      </c>
      <c r="J130" s="3">
        <v>14.42</v>
      </c>
      <c r="K130" s="3">
        <v>15.56</v>
      </c>
      <c r="L130" s="21">
        <v>17.309999999999999</v>
      </c>
      <c r="M130" s="3">
        <v>1.9</v>
      </c>
      <c r="N130" s="2" t="s">
        <v>16</v>
      </c>
      <c r="O130" s="4" t="s">
        <v>17</v>
      </c>
      <c r="P130" s="18" t="s">
        <v>18</v>
      </c>
      <c r="Q130" s="5">
        <f t="shared" si="4"/>
        <v>17.712</v>
      </c>
      <c r="R130" s="5">
        <f t="shared" si="5"/>
        <v>15.864999999999998</v>
      </c>
      <c r="S130" s="5">
        <f t="shared" si="6"/>
        <v>8.73</v>
      </c>
      <c r="T130" s="23">
        <f>('Investor-Inputs'!$G$19 * Q130) + ('Investor-Inputs'!$J$19 * R130) + ('Investor-Inputs'!$N$19 * S130)</f>
        <v>93.595999999999989</v>
      </c>
      <c r="U130" s="27">
        <f t="shared" si="7"/>
        <v>67</v>
      </c>
    </row>
    <row r="131" spans="3:21" x14ac:dyDescent="0.25">
      <c r="C131" s="2" t="s">
        <v>154</v>
      </c>
      <c r="D131" s="2">
        <v>4</v>
      </c>
      <c r="E131" s="2" t="s">
        <v>14</v>
      </c>
      <c r="F131" s="2" t="s">
        <v>152</v>
      </c>
      <c r="G131" s="3">
        <v>8.33</v>
      </c>
      <c r="H131" s="3">
        <v>6.92</v>
      </c>
      <c r="I131" s="3">
        <v>24.87</v>
      </c>
      <c r="J131" s="3">
        <v>14.86</v>
      </c>
      <c r="K131" s="3">
        <v>13.99</v>
      </c>
      <c r="L131" s="21">
        <v>16.38</v>
      </c>
      <c r="M131" s="3">
        <v>2.2999999999999998</v>
      </c>
      <c r="N131" s="2" t="s">
        <v>16</v>
      </c>
      <c r="O131" s="4" t="s">
        <v>24</v>
      </c>
      <c r="P131" s="18" t="s">
        <v>18</v>
      </c>
      <c r="Q131" s="5">
        <f t="shared" si="4"/>
        <v>16.943000000000001</v>
      </c>
      <c r="R131" s="5">
        <f t="shared" si="5"/>
        <v>15.62</v>
      </c>
      <c r="S131" s="5">
        <f t="shared" si="6"/>
        <v>8.1449999999999996</v>
      </c>
      <c r="T131" s="23">
        <f>('Investor-Inputs'!$G$19 * Q131) + ('Investor-Inputs'!$J$19 * R131) + ('Investor-Inputs'!$N$19 * S131)</f>
        <v>90.213999999999999</v>
      </c>
      <c r="U131" s="27">
        <f t="shared" si="7"/>
        <v>81</v>
      </c>
    </row>
    <row r="132" spans="3:21" x14ac:dyDescent="0.25">
      <c r="C132" s="2" t="s">
        <v>155</v>
      </c>
      <c r="D132" s="2">
        <v>4</v>
      </c>
      <c r="E132" s="2" t="s">
        <v>14</v>
      </c>
      <c r="F132" s="2" t="s">
        <v>156</v>
      </c>
      <c r="G132" s="3">
        <v>-3.31</v>
      </c>
      <c r="H132" s="3">
        <v>-7.98</v>
      </c>
      <c r="I132" s="3">
        <v>13.23</v>
      </c>
      <c r="J132" s="3">
        <v>3.2</v>
      </c>
      <c r="K132" s="3">
        <v>12.93</v>
      </c>
      <c r="L132" s="21">
        <v>8.77</v>
      </c>
      <c r="M132" s="3">
        <v>2.16</v>
      </c>
      <c r="N132" s="2" t="s">
        <v>16</v>
      </c>
      <c r="O132" s="4" t="s">
        <v>24</v>
      </c>
      <c r="P132" s="18" t="s">
        <v>18</v>
      </c>
      <c r="Q132" s="5">
        <f t="shared" si="4"/>
        <v>11.757000000000001</v>
      </c>
      <c r="R132" s="5">
        <f t="shared" si="5"/>
        <v>5.9849999999999994</v>
      </c>
      <c r="S132" s="5">
        <f t="shared" si="6"/>
        <v>7.5449999999999999</v>
      </c>
      <c r="T132" s="23">
        <f>('Investor-Inputs'!$G$19 * Q132) + ('Investor-Inputs'!$J$19 * R132) + ('Investor-Inputs'!$N$19 * S132)</f>
        <v>54.786000000000001</v>
      </c>
      <c r="U132" s="27">
        <f t="shared" si="7"/>
        <v>269</v>
      </c>
    </row>
    <row r="133" spans="3:21" x14ac:dyDescent="0.25">
      <c r="C133" s="2" t="s">
        <v>157</v>
      </c>
      <c r="D133" s="2">
        <v>5</v>
      </c>
      <c r="E133" s="2" t="s">
        <v>14</v>
      </c>
      <c r="F133" s="2" t="s">
        <v>156</v>
      </c>
      <c r="G133" s="3">
        <v>-0.17</v>
      </c>
      <c r="H133" s="3">
        <v>-5.69</v>
      </c>
      <c r="I133" s="3">
        <v>14</v>
      </c>
      <c r="J133" s="3">
        <v>4.08</v>
      </c>
      <c r="K133" s="3">
        <v>14.95</v>
      </c>
      <c r="L133" s="21">
        <v>10.32</v>
      </c>
      <c r="M133" s="3">
        <v>2.25</v>
      </c>
      <c r="N133" s="2" t="s">
        <v>16</v>
      </c>
      <c r="O133" s="4" t="s">
        <v>17</v>
      </c>
      <c r="P133" s="18" t="s">
        <v>18</v>
      </c>
      <c r="Q133" s="5">
        <f t="shared" si="4"/>
        <v>13.074999999999999</v>
      </c>
      <c r="R133" s="5">
        <f t="shared" si="5"/>
        <v>7.2</v>
      </c>
      <c r="S133" s="5">
        <f t="shared" si="6"/>
        <v>8.6</v>
      </c>
      <c r="T133" s="23">
        <f>('Investor-Inputs'!$G$19 * Q133) + ('Investor-Inputs'!$J$19 * R133) + ('Investor-Inputs'!$N$19 * S133)</f>
        <v>62.224999999999994</v>
      </c>
      <c r="U133" s="27">
        <f t="shared" si="7"/>
        <v>224</v>
      </c>
    </row>
    <row r="134" spans="3:21" x14ac:dyDescent="0.25">
      <c r="C134" s="2" t="s">
        <v>158</v>
      </c>
      <c r="D134" s="2">
        <v>4</v>
      </c>
      <c r="E134" s="2" t="s">
        <v>14</v>
      </c>
      <c r="F134" s="2" t="s">
        <v>156</v>
      </c>
      <c r="G134" s="3">
        <v>-0.06</v>
      </c>
      <c r="H134" s="3">
        <v>-6.54</v>
      </c>
      <c r="I134" s="3">
        <v>13.8</v>
      </c>
      <c r="J134" s="3">
        <v>3.92</v>
      </c>
      <c r="K134" s="3">
        <v>14.55</v>
      </c>
      <c r="L134" s="21">
        <v>9.9600000000000009</v>
      </c>
      <c r="M134" s="3">
        <v>1.91</v>
      </c>
      <c r="N134" s="2" t="s">
        <v>16</v>
      </c>
      <c r="O134" s="4" t="s">
        <v>17</v>
      </c>
      <c r="P134" s="18" t="s">
        <v>18</v>
      </c>
      <c r="Q134" s="5">
        <f t="shared" si="4"/>
        <v>12.795000000000002</v>
      </c>
      <c r="R134" s="5">
        <f t="shared" si="5"/>
        <v>6.94</v>
      </c>
      <c r="S134" s="5">
        <f t="shared" si="6"/>
        <v>8.23</v>
      </c>
      <c r="T134" s="23">
        <f>('Investor-Inputs'!$G$19 * Q134) + ('Investor-Inputs'!$J$19 * R134) + ('Investor-Inputs'!$N$19 * S134)</f>
        <v>60.495000000000005</v>
      </c>
      <c r="U134" s="27">
        <f t="shared" si="7"/>
        <v>238</v>
      </c>
    </row>
    <row r="135" spans="3:21" x14ac:dyDescent="0.25">
      <c r="C135" s="2" t="s">
        <v>159</v>
      </c>
      <c r="D135" s="2">
        <v>4</v>
      </c>
      <c r="E135" s="2" t="s">
        <v>14</v>
      </c>
      <c r="F135" s="2" t="s">
        <v>156</v>
      </c>
      <c r="G135" s="3">
        <v>-4.71</v>
      </c>
      <c r="H135" s="3">
        <v>-8.57</v>
      </c>
      <c r="I135" s="3">
        <v>13.47</v>
      </c>
      <c r="J135" s="3">
        <v>2.91</v>
      </c>
      <c r="K135" s="3">
        <v>15.63</v>
      </c>
      <c r="L135" s="21">
        <v>9.64</v>
      </c>
      <c r="M135" s="3">
        <v>1.98</v>
      </c>
      <c r="N135" s="2" t="s">
        <v>16</v>
      </c>
      <c r="O135" s="4" t="s">
        <v>17</v>
      </c>
      <c r="P135" s="18" t="s">
        <v>18</v>
      </c>
      <c r="Q135" s="5">
        <f t="shared" si="4"/>
        <v>13.203000000000001</v>
      </c>
      <c r="R135" s="5">
        <f t="shared" si="5"/>
        <v>6.2750000000000004</v>
      </c>
      <c r="S135" s="5">
        <f t="shared" si="6"/>
        <v>8.8049999999999997</v>
      </c>
      <c r="T135" s="23">
        <f>('Investor-Inputs'!$G$19 * Q135) + ('Investor-Inputs'!$J$19 * R135) + ('Investor-Inputs'!$N$19 * S135)</f>
        <v>60.964000000000006</v>
      </c>
      <c r="U135" s="27">
        <f t="shared" si="7"/>
        <v>234</v>
      </c>
    </row>
    <row r="136" spans="3:21" x14ac:dyDescent="0.25">
      <c r="C136" s="2" t="s">
        <v>160</v>
      </c>
      <c r="D136" s="2">
        <v>4</v>
      </c>
      <c r="E136" s="2" t="s">
        <v>14</v>
      </c>
      <c r="F136" s="2" t="s">
        <v>156</v>
      </c>
      <c r="G136" s="3">
        <v>4.07</v>
      </c>
      <c r="H136" s="3">
        <v>1.1499999999999999</v>
      </c>
      <c r="I136" s="3">
        <v>17.14</v>
      </c>
      <c r="J136" s="3">
        <v>7.67</v>
      </c>
      <c r="K136" s="3">
        <v>15.35</v>
      </c>
      <c r="L136" s="21">
        <v>12.16</v>
      </c>
      <c r="M136" s="3">
        <v>2.0099999999999998</v>
      </c>
      <c r="N136" s="2" t="s">
        <v>16</v>
      </c>
      <c r="O136" s="4" t="s">
        <v>28</v>
      </c>
      <c r="P136" s="18" t="s">
        <v>18</v>
      </c>
      <c r="Q136" s="5">
        <f t="shared" ref="Q136:Q199" si="8">I136*0.4+K136*0.5</f>
        <v>14.531000000000001</v>
      </c>
      <c r="R136" s="5">
        <f t="shared" ref="R136:R199" si="9">(L136+J136)/2</f>
        <v>9.9149999999999991</v>
      </c>
      <c r="S136" s="5">
        <f t="shared" ref="S136:S199" si="10">(M136+K136)/2</f>
        <v>8.68</v>
      </c>
      <c r="T136" s="23">
        <f>('Investor-Inputs'!$G$19 * Q136) + ('Investor-Inputs'!$J$19 * R136) + ('Investor-Inputs'!$N$19 * S136)</f>
        <v>72.103000000000009</v>
      </c>
      <c r="U136" s="27">
        <f t="shared" ref="U136:U199" si="11">_xlfn.RANK.EQ(T136,$T$7:$T$592,0)</f>
        <v>184</v>
      </c>
    </row>
    <row r="137" spans="3:21" x14ac:dyDescent="0.25">
      <c r="C137" s="2" t="s">
        <v>161</v>
      </c>
      <c r="D137" s="2">
        <v>4</v>
      </c>
      <c r="E137" s="2" t="s">
        <v>14</v>
      </c>
      <c r="F137" s="2" t="s">
        <v>162</v>
      </c>
      <c r="G137" s="3">
        <v>23.44</v>
      </c>
      <c r="H137" s="3">
        <v>20.97</v>
      </c>
      <c r="I137" s="3">
        <v>25.7</v>
      </c>
      <c r="J137" s="3">
        <v>17.38</v>
      </c>
      <c r="K137" s="3">
        <v>22.68</v>
      </c>
      <c r="L137" s="21">
        <v>20.72</v>
      </c>
      <c r="M137" s="3">
        <v>2.39</v>
      </c>
      <c r="N137" s="2" t="s">
        <v>16</v>
      </c>
      <c r="O137" s="4" t="s">
        <v>24</v>
      </c>
      <c r="P137" s="18" t="s">
        <v>18</v>
      </c>
      <c r="Q137" s="5">
        <f t="shared" si="8"/>
        <v>21.62</v>
      </c>
      <c r="R137" s="5">
        <f t="shared" si="9"/>
        <v>19.049999999999997</v>
      </c>
      <c r="S137" s="5">
        <f t="shared" si="10"/>
        <v>12.535</v>
      </c>
      <c r="T137" s="23">
        <f>('Investor-Inputs'!$G$19 * Q137) + ('Investor-Inputs'!$J$19 * R137) + ('Investor-Inputs'!$N$19 * S137)</f>
        <v>115.49499999999999</v>
      </c>
      <c r="U137" s="27">
        <f t="shared" si="11"/>
        <v>21</v>
      </c>
    </row>
    <row r="138" spans="3:21" x14ac:dyDescent="0.25">
      <c r="C138" s="2" t="s">
        <v>163</v>
      </c>
      <c r="D138" s="2">
        <v>4</v>
      </c>
      <c r="E138" s="2" t="s">
        <v>14</v>
      </c>
      <c r="F138" s="2" t="s">
        <v>162</v>
      </c>
      <c r="G138" s="3">
        <v>16.11</v>
      </c>
      <c r="H138" s="3">
        <v>15.05</v>
      </c>
      <c r="I138" s="3">
        <v>26.29</v>
      </c>
      <c r="J138" s="3">
        <v>16.829999999999998</v>
      </c>
      <c r="K138" s="3">
        <v>24.72</v>
      </c>
      <c r="L138" s="21">
        <v>21.12</v>
      </c>
      <c r="M138" s="3">
        <v>2.25</v>
      </c>
      <c r="N138" s="2" t="s">
        <v>16</v>
      </c>
      <c r="O138" s="4" t="s">
        <v>17</v>
      </c>
      <c r="P138" s="18" t="s">
        <v>18</v>
      </c>
      <c r="Q138" s="5">
        <f t="shared" si="8"/>
        <v>22.875999999999998</v>
      </c>
      <c r="R138" s="5">
        <f t="shared" si="9"/>
        <v>18.975000000000001</v>
      </c>
      <c r="S138" s="5">
        <f t="shared" si="10"/>
        <v>13.484999999999999</v>
      </c>
      <c r="T138" s="23">
        <f>('Investor-Inputs'!$G$19 * Q138) + ('Investor-Inputs'!$J$19 * R138) + ('Investor-Inputs'!$N$19 * S138)</f>
        <v>120.06299999999999</v>
      </c>
      <c r="U138" s="27">
        <f t="shared" si="11"/>
        <v>15</v>
      </c>
    </row>
    <row r="139" spans="3:21" x14ac:dyDescent="0.25">
      <c r="C139" s="2" t="s">
        <v>164</v>
      </c>
      <c r="D139" s="2">
        <v>4</v>
      </c>
      <c r="E139" s="2" t="s">
        <v>14</v>
      </c>
      <c r="F139" s="2" t="s">
        <v>162</v>
      </c>
      <c r="G139" s="3">
        <v>19.45</v>
      </c>
      <c r="H139" s="3">
        <v>20.76</v>
      </c>
      <c r="I139" s="3">
        <v>27.15</v>
      </c>
      <c r="J139" s="3">
        <v>16.399999999999999</v>
      </c>
      <c r="K139" s="3">
        <v>25.42</v>
      </c>
      <c r="L139" s="21">
        <v>21.86</v>
      </c>
      <c r="M139" s="3">
        <v>1.99</v>
      </c>
      <c r="N139" s="2" t="s">
        <v>16</v>
      </c>
      <c r="O139" s="4" t="s">
        <v>17</v>
      </c>
      <c r="P139" s="18" t="s">
        <v>18</v>
      </c>
      <c r="Q139" s="5">
        <f t="shared" si="8"/>
        <v>23.57</v>
      </c>
      <c r="R139" s="5">
        <f t="shared" si="9"/>
        <v>19.13</v>
      </c>
      <c r="S139" s="5">
        <f t="shared" si="10"/>
        <v>13.705</v>
      </c>
      <c r="T139" s="23">
        <f>('Investor-Inputs'!$G$19 * Q139) + ('Investor-Inputs'!$J$19 * R139) + ('Investor-Inputs'!$N$19 * S139)</f>
        <v>122.675</v>
      </c>
      <c r="U139" s="27">
        <f t="shared" si="11"/>
        <v>11</v>
      </c>
    </row>
    <row r="140" spans="3:21" x14ac:dyDescent="0.25">
      <c r="C140" s="2" t="s">
        <v>165</v>
      </c>
      <c r="D140" s="2">
        <v>5</v>
      </c>
      <c r="E140" s="2" t="s">
        <v>14</v>
      </c>
      <c r="F140" s="2" t="s">
        <v>162</v>
      </c>
      <c r="G140" s="3">
        <v>11.36</v>
      </c>
      <c r="H140" s="3">
        <v>8.8000000000000007</v>
      </c>
      <c r="I140" s="3">
        <v>26.12</v>
      </c>
      <c r="J140" s="3">
        <v>13.92</v>
      </c>
      <c r="K140" s="3">
        <v>24.3</v>
      </c>
      <c r="L140" s="21">
        <v>20.43</v>
      </c>
      <c r="M140" s="3">
        <v>2.04</v>
      </c>
      <c r="N140" s="2" t="s">
        <v>16</v>
      </c>
      <c r="O140" s="4" t="s">
        <v>17</v>
      </c>
      <c r="P140" s="18" t="s">
        <v>18</v>
      </c>
      <c r="Q140" s="5">
        <f t="shared" si="8"/>
        <v>22.597999999999999</v>
      </c>
      <c r="R140" s="5">
        <f t="shared" si="9"/>
        <v>17.175000000000001</v>
      </c>
      <c r="S140" s="5">
        <f t="shared" si="10"/>
        <v>13.17</v>
      </c>
      <c r="T140" s="23">
        <f>('Investor-Inputs'!$G$19 * Q140) + ('Investor-Inputs'!$J$19 * R140) + ('Investor-Inputs'!$N$19 * S140)</f>
        <v>115.31400000000001</v>
      </c>
      <c r="U140" s="27">
        <f t="shared" si="11"/>
        <v>23</v>
      </c>
    </row>
    <row r="141" spans="3:21" x14ac:dyDescent="0.25">
      <c r="C141" s="2" t="s">
        <v>166</v>
      </c>
      <c r="D141" s="2">
        <v>4</v>
      </c>
      <c r="E141" s="2" t="s">
        <v>14</v>
      </c>
      <c r="F141" s="2" t="s">
        <v>162</v>
      </c>
      <c r="G141" s="3">
        <v>6.44</v>
      </c>
      <c r="H141" s="3">
        <v>2.1800000000000002</v>
      </c>
      <c r="I141" s="3">
        <v>24.76</v>
      </c>
      <c r="J141" s="3">
        <v>10.36</v>
      </c>
      <c r="K141" s="3">
        <v>24.58</v>
      </c>
      <c r="L141" s="21">
        <v>19.350000000000001</v>
      </c>
      <c r="M141" s="3">
        <v>2.5299999999999998</v>
      </c>
      <c r="N141" s="2" t="s">
        <v>16</v>
      </c>
      <c r="O141" s="4" t="s">
        <v>17</v>
      </c>
      <c r="P141" s="18" t="s">
        <v>18</v>
      </c>
      <c r="Q141" s="5">
        <f t="shared" si="8"/>
        <v>22.194000000000003</v>
      </c>
      <c r="R141" s="5">
        <f t="shared" si="9"/>
        <v>14.855</v>
      </c>
      <c r="S141" s="5">
        <f t="shared" si="10"/>
        <v>13.555</v>
      </c>
      <c r="T141" s="23">
        <f>('Investor-Inputs'!$G$19 * Q141) + ('Investor-Inputs'!$J$19 * R141) + ('Investor-Inputs'!$N$19 * S141)</f>
        <v>109.84700000000001</v>
      </c>
      <c r="U141" s="27">
        <f t="shared" si="11"/>
        <v>29</v>
      </c>
    </row>
    <row r="142" spans="3:21" x14ac:dyDescent="0.25">
      <c r="C142" s="2" t="s">
        <v>167</v>
      </c>
      <c r="D142" s="2">
        <v>5</v>
      </c>
      <c r="E142" s="2" t="s">
        <v>14</v>
      </c>
      <c r="F142" s="2" t="s">
        <v>162</v>
      </c>
      <c r="G142" s="3">
        <v>11.11</v>
      </c>
      <c r="H142" s="3">
        <v>7.66</v>
      </c>
      <c r="I142" s="3">
        <v>23.91</v>
      </c>
      <c r="J142" s="3">
        <v>13.56</v>
      </c>
      <c r="K142" s="3">
        <v>26.64</v>
      </c>
      <c r="L142" s="21">
        <v>21.29</v>
      </c>
      <c r="M142" s="3">
        <v>2.34</v>
      </c>
      <c r="N142" s="2" t="s">
        <v>16</v>
      </c>
      <c r="O142" s="4" t="s">
        <v>17</v>
      </c>
      <c r="P142" s="18" t="s">
        <v>18</v>
      </c>
      <c r="Q142" s="5">
        <f t="shared" si="8"/>
        <v>22.884</v>
      </c>
      <c r="R142" s="5">
        <f t="shared" si="9"/>
        <v>17.425000000000001</v>
      </c>
      <c r="S142" s="5">
        <f t="shared" si="10"/>
        <v>14.49</v>
      </c>
      <c r="T142" s="23">
        <f>('Investor-Inputs'!$G$19 * Q142) + ('Investor-Inputs'!$J$19 * R142) + ('Investor-Inputs'!$N$19 * S142)</f>
        <v>117.992</v>
      </c>
      <c r="U142" s="27">
        <f t="shared" si="11"/>
        <v>19</v>
      </c>
    </row>
    <row r="143" spans="3:21" x14ac:dyDescent="0.25">
      <c r="C143" s="2" t="s">
        <v>168</v>
      </c>
      <c r="D143" s="2">
        <v>4</v>
      </c>
      <c r="E143" s="2" t="s">
        <v>14</v>
      </c>
      <c r="F143" s="2" t="s">
        <v>162</v>
      </c>
      <c r="G143" s="3">
        <v>18.920000000000002</v>
      </c>
      <c r="H143" s="3">
        <v>12.81</v>
      </c>
      <c r="I143" s="3">
        <v>28.67</v>
      </c>
      <c r="J143" s="3">
        <v>17.010000000000002</v>
      </c>
      <c r="K143" s="3">
        <v>24.94</v>
      </c>
      <c r="L143" s="21">
        <v>21.79</v>
      </c>
      <c r="M143" s="3">
        <v>2.1800000000000002</v>
      </c>
      <c r="N143" s="2" t="s">
        <v>16</v>
      </c>
      <c r="O143" s="4" t="s">
        <v>28</v>
      </c>
      <c r="P143" s="18" t="s">
        <v>18</v>
      </c>
      <c r="Q143" s="5">
        <f t="shared" si="8"/>
        <v>23.938000000000002</v>
      </c>
      <c r="R143" s="5">
        <f t="shared" si="9"/>
        <v>19.399999999999999</v>
      </c>
      <c r="S143" s="5">
        <f t="shared" si="10"/>
        <v>13.56</v>
      </c>
      <c r="T143" s="23">
        <f>('Investor-Inputs'!$G$19 * Q143) + ('Investor-Inputs'!$J$19 * R143) + ('Investor-Inputs'!$N$19 * S143)</f>
        <v>124.17400000000001</v>
      </c>
      <c r="U143" s="27">
        <f t="shared" si="11"/>
        <v>9</v>
      </c>
    </row>
    <row r="144" spans="3:21" x14ac:dyDescent="0.25">
      <c r="C144" s="2" t="s">
        <v>169</v>
      </c>
      <c r="D144" s="2">
        <v>4</v>
      </c>
      <c r="E144" s="2" t="s">
        <v>14</v>
      </c>
      <c r="F144" s="2" t="s">
        <v>170</v>
      </c>
      <c r="G144" s="3">
        <v>2.38</v>
      </c>
      <c r="H144" s="3">
        <v>2.2599999999999998</v>
      </c>
      <c r="I144" s="3">
        <v>6.72</v>
      </c>
      <c r="J144" s="3">
        <v>5.85</v>
      </c>
      <c r="K144" s="3">
        <v>5.73</v>
      </c>
      <c r="L144" s="21">
        <v>6.21</v>
      </c>
      <c r="M144" s="3">
        <v>0.95</v>
      </c>
      <c r="N144" s="2" t="s">
        <v>171</v>
      </c>
      <c r="O144" s="4" t="s">
        <v>28</v>
      </c>
      <c r="P144" s="18" t="s">
        <v>18</v>
      </c>
      <c r="Q144" s="5">
        <f t="shared" si="8"/>
        <v>5.5530000000000008</v>
      </c>
      <c r="R144" s="5">
        <f t="shared" si="9"/>
        <v>6.0299999999999994</v>
      </c>
      <c r="S144" s="5">
        <f t="shared" si="10"/>
        <v>3.3400000000000003</v>
      </c>
      <c r="T144" s="23">
        <f>('Investor-Inputs'!$G$19 * Q144) + ('Investor-Inputs'!$J$19 * R144) + ('Investor-Inputs'!$N$19 * S144)</f>
        <v>32.059000000000005</v>
      </c>
      <c r="U144" s="27">
        <f t="shared" si="11"/>
        <v>500</v>
      </c>
    </row>
    <row r="145" spans="3:21" x14ac:dyDescent="0.25">
      <c r="C145" s="2" t="s">
        <v>172</v>
      </c>
      <c r="D145" s="2">
        <v>4</v>
      </c>
      <c r="E145" s="2" t="s">
        <v>14</v>
      </c>
      <c r="F145" s="2" t="s">
        <v>170</v>
      </c>
      <c r="G145" s="3">
        <v>1.97</v>
      </c>
      <c r="H145" s="3">
        <v>1.37</v>
      </c>
      <c r="I145" s="3">
        <v>6.04</v>
      </c>
      <c r="J145" s="3">
        <v>5.32</v>
      </c>
      <c r="K145" s="3">
        <v>4.8099999999999996</v>
      </c>
      <c r="L145" s="21">
        <v>5.45</v>
      </c>
      <c r="M145" s="3">
        <v>1.24</v>
      </c>
      <c r="N145" s="2" t="s">
        <v>171</v>
      </c>
      <c r="O145" s="4" t="s">
        <v>17</v>
      </c>
      <c r="P145" s="18" t="s">
        <v>18</v>
      </c>
      <c r="Q145" s="5">
        <f t="shared" si="8"/>
        <v>4.8209999999999997</v>
      </c>
      <c r="R145" s="5">
        <f t="shared" si="9"/>
        <v>5.3849999999999998</v>
      </c>
      <c r="S145" s="5">
        <f t="shared" si="10"/>
        <v>3.0249999999999999</v>
      </c>
      <c r="T145" s="23">
        <f>('Investor-Inputs'!$G$19 * Q145) + ('Investor-Inputs'!$J$19 * R145) + ('Investor-Inputs'!$N$19 * S145)</f>
        <v>28.257999999999996</v>
      </c>
      <c r="U145" s="27">
        <f t="shared" si="11"/>
        <v>550</v>
      </c>
    </row>
    <row r="146" spans="3:21" x14ac:dyDescent="0.25">
      <c r="C146" s="2" t="s">
        <v>173</v>
      </c>
      <c r="D146" s="2">
        <v>4</v>
      </c>
      <c r="E146" s="2" t="s">
        <v>14</v>
      </c>
      <c r="F146" s="2" t="s">
        <v>170</v>
      </c>
      <c r="G146" s="3">
        <v>1.99</v>
      </c>
      <c r="H146" s="3">
        <v>1.92</v>
      </c>
      <c r="I146" s="3">
        <v>6.21</v>
      </c>
      <c r="J146" s="3">
        <v>5.53</v>
      </c>
      <c r="K146" s="3">
        <v>5.22</v>
      </c>
      <c r="L146" s="21">
        <v>5.84</v>
      </c>
      <c r="M146" s="3">
        <v>0.61</v>
      </c>
      <c r="N146" s="2" t="s">
        <v>171</v>
      </c>
      <c r="O146" s="4" t="s">
        <v>17</v>
      </c>
      <c r="P146" s="18" t="s">
        <v>18</v>
      </c>
      <c r="Q146" s="5">
        <f t="shared" si="8"/>
        <v>5.0939999999999994</v>
      </c>
      <c r="R146" s="5">
        <f t="shared" si="9"/>
        <v>5.6850000000000005</v>
      </c>
      <c r="S146" s="5">
        <f t="shared" si="10"/>
        <v>2.915</v>
      </c>
      <c r="T146" s="23">
        <f>('Investor-Inputs'!$G$19 * Q146) + ('Investor-Inputs'!$J$19 * R146) + ('Investor-Inputs'!$N$19 * S146)</f>
        <v>29.567</v>
      </c>
      <c r="U146" s="27">
        <f t="shared" si="11"/>
        <v>544</v>
      </c>
    </row>
    <row r="147" spans="3:21" x14ac:dyDescent="0.25">
      <c r="C147" s="2" t="s">
        <v>174</v>
      </c>
      <c r="D147" s="2">
        <v>4</v>
      </c>
      <c r="E147" s="2" t="s">
        <v>14</v>
      </c>
      <c r="F147" s="2" t="s">
        <v>175</v>
      </c>
      <c r="G147" s="3">
        <v>3.99</v>
      </c>
      <c r="H147" s="3">
        <v>3.07</v>
      </c>
      <c r="I147" s="3">
        <v>6.75</v>
      </c>
      <c r="J147" s="3">
        <v>6.28</v>
      </c>
      <c r="K147" s="3">
        <v>5.74</v>
      </c>
      <c r="L147" s="21">
        <v>6.3</v>
      </c>
      <c r="M147" s="3">
        <v>0.77</v>
      </c>
      <c r="N147" s="2" t="s">
        <v>171</v>
      </c>
      <c r="O147" s="4" t="s">
        <v>17</v>
      </c>
      <c r="P147" s="18" t="s">
        <v>18</v>
      </c>
      <c r="Q147" s="5">
        <f t="shared" si="8"/>
        <v>5.57</v>
      </c>
      <c r="R147" s="5">
        <f t="shared" si="9"/>
        <v>6.29</v>
      </c>
      <c r="S147" s="5">
        <f t="shared" si="10"/>
        <v>3.2549999999999999</v>
      </c>
      <c r="T147" s="23">
        <f>('Investor-Inputs'!$G$19 * Q147) + ('Investor-Inputs'!$J$19 * R147) + ('Investor-Inputs'!$N$19 * S147)</f>
        <v>32.545000000000002</v>
      </c>
      <c r="U147" s="27">
        <f t="shared" si="11"/>
        <v>486</v>
      </c>
    </row>
    <row r="148" spans="3:21" x14ac:dyDescent="0.25">
      <c r="C148" s="2" t="s">
        <v>176</v>
      </c>
      <c r="D148" s="2">
        <v>5</v>
      </c>
      <c r="E148" s="2" t="s">
        <v>14</v>
      </c>
      <c r="F148" s="2" t="s">
        <v>177</v>
      </c>
      <c r="G148" s="3">
        <v>5.31</v>
      </c>
      <c r="H148" s="3">
        <v>4.5199999999999996</v>
      </c>
      <c r="I148" s="3">
        <v>7.07</v>
      </c>
      <c r="J148" s="3">
        <v>6.88</v>
      </c>
      <c r="K148" s="3">
        <v>6.04</v>
      </c>
      <c r="L148" s="21">
        <v>6.69</v>
      </c>
      <c r="M148" s="3">
        <v>0.91</v>
      </c>
      <c r="N148" s="2" t="s">
        <v>171</v>
      </c>
      <c r="O148" s="4" t="s">
        <v>28</v>
      </c>
      <c r="P148" s="18" t="s">
        <v>18</v>
      </c>
      <c r="Q148" s="5">
        <f t="shared" si="8"/>
        <v>5.8480000000000008</v>
      </c>
      <c r="R148" s="5">
        <f t="shared" si="9"/>
        <v>6.7850000000000001</v>
      </c>
      <c r="S148" s="5">
        <f t="shared" si="10"/>
        <v>3.4750000000000001</v>
      </c>
      <c r="T148" s="23">
        <f>('Investor-Inputs'!$G$19 * Q148) + ('Investor-Inputs'!$J$19 * R148) + ('Investor-Inputs'!$N$19 * S148)</f>
        <v>34.589000000000006</v>
      </c>
      <c r="U148" s="27">
        <f t="shared" si="11"/>
        <v>407</v>
      </c>
    </row>
    <row r="149" spans="3:21" x14ac:dyDescent="0.25">
      <c r="C149" s="2" t="s">
        <v>178</v>
      </c>
      <c r="D149" s="2">
        <v>4</v>
      </c>
      <c r="E149" s="2" t="s">
        <v>14</v>
      </c>
      <c r="F149" s="2" t="s">
        <v>177</v>
      </c>
      <c r="G149" s="3">
        <v>4.97</v>
      </c>
      <c r="H149" s="3">
        <v>4.45</v>
      </c>
      <c r="I149" s="3">
        <v>6.93</v>
      </c>
      <c r="J149" s="3">
        <v>6.68</v>
      </c>
      <c r="K149" s="3">
        <v>5.75</v>
      </c>
      <c r="L149" s="21">
        <v>6.47</v>
      </c>
      <c r="M149" s="3">
        <v>0.82</v>
      </c>
      <c r="N149" s="2" t="s">
        <v>171</v>
      </c>
      <c r="O149" s="4" t="s">
        <v>17</v>
      </c>
      <c r="P149" s="18" t="s">
        <v>18</v>
      </c>
      <c r="Q149" s="5">
        <f t="shared" si="8"/>
        <v>5.6470000000000002</v>
      </c>
      <c r="R149" s="5">
        <f t="shared" si="9"/>
        <v>6.5749999999999993</v>
      </c>
      <c r="S149" s="5">
        <f t="shared" si="10"/>
        <v>3.2850000000000001</v>
      </c>
      <c r="T149" s="23">
        <f>('Investor-Inputs'!$G$19 * Q149) + ('Investor-Inputs'!$J$19 * R149) + ('Investor-Inputs'!$N$19 * S149)</f>
        <v>33.376000000000005</v>
      </c>
      <c r="U149" s="27">
        <f t="shared" si="11"/>
        <v>474</v>
      </c>
    </row>
    <row r="150" spans="3:21" x14ac:dyDescent="0.25">
      <c r="C150" s="2" t="s">
        <v>179</v>
      </c>
      <c r="D150" s="2">
        <v>5</v>
      </c>
      <c r="E150" s="2" t="s">
        <v>14</v>
      </c>
      <c r="F150" s="2" t="s">
        <v>177</v>
      </c>
      <c r="G150" s="3">
        <v>4.75</v>
      </c>
      <c r="H150" s="3">
        <v>4.09</v>
      </c>
      <c r="I150" s="3">
        <v>6.75</v>
      </c>
      <c r="J150" s="3">
        <v>6.46</v>
      </c>
      <c r="K150" s="2"/>
      <c r="L150" s="20"/>
      <c r="M150" s="3">
        <v>0.56000000000000005</v>
      </c>
      <c r="N150" s="2" t="s">
        <v>180</v>
      </c>
      <c r="O150" s="4" t="s">
        <v>28</v>
      </c>
      <c r="P150" s="18" t="s">
        <v>18</v>
      </c>
      <c r="Q150" s="5">
        <f t="shared" si="8"/>
        <v>2.7</v>
      </c>
      <c r="R150" s="5">
        <f t="shared" si="9"/>
        <v>3.23</v>
      </c>
      <c r="S150" s="5">
        <f t="shared" si="10"/>
        <v>0.28000000000000003</v>
      </c>
      <c r="T150" s="23">
        <f>('Investor-Inputs'!$G$19 * Q150) + ('Investor-Inputs'!$J$19 * R150) + ('Investor-Inputs'!$N$19 * S150)</f>
        <v>14.840000000000002</v>
      </c>
      <c r="U150" s="27">
        <f t="shared" si="11"/>
        <v>579</v>
      </c>
    </row>
    <row r="151" spans="3:21" x14ac:dyDescent="0.25">
      <c r="C151" s="2" t="s">
        <v>181</v>
      </c>
      <c r="D151" s="2">
        <v>5</v>
      </c>
      <c r="E151" s="2" t="s">
        <v>14</v>
      </c>
      <c r="F151" s="2" t="s">
        <v>177</v>
      </c>
      <c r="G151" s="3">
        <v>5.17</v>
      </c>
      <c r="H151" s="3">
        <v>4.3</v>
      </c>
      <c r="I151" s="3">
        <v>7.2</v>
      </c>
      <c r="J151" s="3">
        <v>6.8</v>
      </c>
      <c r="K151" s="3">
        <v>6.15</v>
      </c>
      <c r="L151" s="21">
        <v>6.72</v>
      </c>
      <c r="M151" s="3">
        <v>0.71</v>
      </c>
      <c r="N151" s="2" t="s">
        <v>171</v>
      </c>
      <c r="O151" s="4" t="s">
        <v>17</v>
      </c>
      <c r="P151" s="18" t="s">
        <v>18</v>
      </c>
      <c r="Q151" s="5">
        <f t="shared" si="8"/>
        <v>5.9550000000000001</v>
      </c>
      <c r="R151" s="5">
        <f t="shared" si="9"/>
        <v>6.76</v>
      </c>
      <c r="S151" s="5">
        <f t="shared" si="10"/>
        <v>3.43</v>
      </c>
      <c r="T151" s="23">
        <f>('Investor-Inputs'!$G$19 * Q151) + ('Investor-Inputs'!$J$19 * R151) + ('Investor-Inputs'!$N$19 * S151)</f>
        <v>34.815000000000005</v>
      </c>
      <c r="U151" s="27">
        <f t="shared" si="11"/>
        <v>401</v>
      </c>
    </row>
    <row r="152" spans="3:21" x14ac:dyDescent="0.25">
      <c r="C152" s="2" t="s">
        <v>182</v>
      </c>
      <c r="D152" s="2">
        <v>4</v>
      </c>
      <c r="E152" s="2" t="s">
        <v>14</v>
      </c>
      <c r="F152" s="2" t="s">
        <v>177</v>
      </c>
      <c r="G152" s="3">
        <v>4.84</v>
      </c>
      <c r="H152" s="3">
        <v>3.93</v>
      </c>
      <c r="I152" s="3">
        <v>6.73</v>
      </c>
      <c r="J152" s="3">
        <v>6.46</v>
      </c>
      <c r="K152" s="3">
        <v>5.54</v>
      </c>
      <c r="L152" s="21">
        <v>6.25</v>
      </c>
      <c r="M152" s="3">
        <v>0.74</v>
      </c>
      <c r="N152" s="2" t="s">
        <v>171</v>
      </c>
      <c r="O152" s="4" t="s">
        <v>17</v>
      </c>
      <c r="P152" s="18" t="s">
        <v>18</v>
      </c>
      <c r="Q152" s="5">
        <f t="shared" si="8"/>
        <v>5.4619999999999997</v>
      </c>
      <c r="R152" s="5">
        <f t="shared" si="9"/>
        <v>6.3550000000000004</v>
      </c>
      <c r="S152" s="5">
        <f t="shared" si="10"/>
        <v>3.14</v>
      </c>
      <c r="T152" s="23">
        <f>('Investor-Inputs'!$G$19 * Q152) + ('Investor-Inputs'!$J$19 * R152) + ('Investor-Inputs'!$N$19 * S152)</f>
        <v>32.235999999999997</v>
      </c>
      <c r="U152" s="27">
        <f t="shared" si="11"/>
        <v>496</v>
      </c>
    </row>
    <row r="153" spans="3:21" x14ac:dyDescent="0.25">
      <c r="C153" s="2" t="s">
        <v>183</v>
      </c>
      <c r="D153" s="2">
        <v>5</v>
      </c>
      <c r="E153" s="2" t="s">
        <v>14</v>
      </c>
      <c r="F153" s="2" t="s">
        <v>177</v>
      </c>
      <c r="G153" s="3">
        <v>5.47</v>
      </c>
      <c r="H153" s="3">
        <v>4.75</v>
      </c>
      <c r="I153" s="3">
        <v>7.23</v>
      </c>
      <c r="J153" s="3">
        <v>6.87</v>
      </c>
      <c r="K153" s="3">
        <v>6.37</v>
      </c>
      <c r="L153" s="21">
        <v>6.87</v>
      </c>
      <c r="M153" s="3">
        <v>1.04</v>
      </c>
      <c r="N153" s="2" t="s">
        <v>171</v>
      </c>
      <c r="O153" s="4" t="s">
        <v>17</v>
      </c>
      <c r="P153" s="18" t="s">
        <v>18</v>
      </c>
      <c r="Q153" s="5">
        <f t="shared" si="8"/>
        <v>6.077</v>
      </c>
      <c r="R153" s="5">
        <f t="shared" si="9"/>
        <v>6.87</v>
      </c>
      <c r="S153" s="5">
        <f t="shared" si="10"/>
        <v>3.7050000000000001</v>
      </c>
      <c r="T153" s="23">
        <f>('Investor-Inputs'!$G$19 * Q153) + ('Investor-Inputs'!$J$19 * R153) + ('Investor-Inputs'!$N$19 * S153)</f>
        <v>35.676000000000002</v>
      </c>
      <c r="U153" s="27">
        <f t="shared" si="11"/>
        <v>371</v>
      </c>
    </row>
    <row r="154" spans="3:21" x14ac:dyDescent="0.25">
      <c r="C154" s="2" t="s">
        <v>184</v>
      </c>
      <c r="D154" s="2">
        <v>4</v>
      </c>
      <c r="E154" s="2" t="s">
        <v>14</v>
      </c>
      <c r="F154" s="2" t="s">
        <v>177</v>
      </c>
      <c r="G154" s="3">
        <v>4.9800000000000004</v>
      </c>
      <c r="H154" s="3">
        <v>4.03</v>
      </c>
      <c r="I154" s="3">
        <v>7.01</v>
      </c>
      <c r="J154" s="3">
        <v>6.68</v>
      </c>
      <c r="K154" s="3">
        <v>5.97</v>
      </c>
      <c r="L154" s="21">
        <v>6.53</v>
      </c>
      <c r="M154" s="3">
        <v>0.94</v>
      </c>
      <c r="N154" s="2" t="s">
        <v>171</v>
      </c>
      <c r="O154" s="4" t="s">
        <v>17</v>
      </c>
      <c r="P154" s="18" t="s">
        <v>18</v>
      </c>
      <c r="Q154" s="5">
        <f t="shared" si="8"/>
        <v>5.7889999999999997</v>
      </c>
      <c r="R154" s="5">
        <f t="shared" si="9"/>
        <v>6.6050000000000004</v>
      </c>
      <c r="S154" s="5">
        <f t="shared" si="10"/>
        <v>3.4550000000000001</v>
      </c>
      <c r="T154" s="23">
        <f>('Investor-Inputs'!$G$19 * Q154) + ('Investor-Inputs'!$J$19 * R154) + ('Investor-Inputs'!$N$19 * S154)</f>
        <v>34.031999999999996</v>
      </c>
      <c r="U154" s="27">
        <f t="shared" si="11"/>
        <v>422</v>
      </c>
    </row>
    <row r="155" spans="3:21" x14ac:dyDescent="0.25">
      <c r="C155" s="2" t="s">
        <v>185</v>
      </c>
      <c r="D155" s="2">
        <v>4</v>
      </c>
      <c r="E155" s="2" t="s">
        <v>14</v>
      </c>
      <c r="F155" s="2" t="s">
        <v>177</v>
      </c>
      <c r="G155" s="3">
        <v>4.83</v>
      </c>
      <c r="H155" s="3">
        <v>3.85</v>
      </c>
      <c r="I155" s="3">
        <v>6.81</v>
      </c>
      <c r="J155" s="3">
        <v>6.48</v>
      </c>
      <c r="K155" s="3">
        <v>5.79</v>
      </c>
      <c r="L155" s="21">
        <v>6.38</v>
      </c>
      <c r="M155" s="3">
        <v>0.86</v>
      </c>
      <c r="N155" s="2" t="s">
        <v>171</v>
      </c>
      <c r="O155" s="4" t="s">
        <v>24</v>
      </c>
      <c r="P155" s="18" t="s">
        <v>18</v>
      </c>
      <c r="Q155" s="5">
        <f t="shared" si="8"/>
        <v>5.6189999999999998</v>
      </c>
      <c r="R155" s="5">
        <f t="shared" si="9"/>
        <v>6.43</v>
      </c>
      <c r="S155" s="5">
        <f t="shared" si="10"/>
        <v>3.3250000000000002</v>
      </c>
      <c r="T155" s="23">
        <f>('Investor-Inputs'!$G$19 * Q155) + ('Investor-Inputs'!$J$19 * R155) + ('Investor-Inputs'!$N$19 * S155)</f>
        <v>33.042000000000002</v>
      </c>
      <c r="U155" s="27">
        <f t="shared" si="11"/>
        <v>480</v>
      </c>
    </row>
    <row r="156" spans="3:21" x14ac:dyDescent="0.25">
      <c r="C156" s="2" t="s">
        <v>186</v>
      </c>
      <c r="D156" s="2">
        <v>4</v>
      </c>
      <c r="E156" s="2" t="s">
        <v>14</v>
      </c>
      <c r="F156" s="2" t="s">
        <v>177</v>
      </c>
      <c r="G156" s="3">
        <v>4.8</v>
      </c>
      <c r="H156" s="3">
        <v>4.1900000000000004</v>
      </c>
      <c r="I156" s="3">
        <v>6.81</v>
      </c>
      <c r="J156" s="3">
        <v>6.49</v>
      </c>
      <c r="K156" s="3">
        <v>7.2</v>
      </c>
      <c r="L156" s="21">
        <v>6.42</v>
      </c>
      <c r="M156" s="3">
        <v>0.8</v>
      </c>
      <c r="N156" s="2" t="s">
        <v>180</v>
      </c>
      <c r="O156" s="4" t="s">
        <v>17</v>
      </c>
      <c r="P156" s="18" t="s">
        <v>18</v>
      </c>
      <c r="Q156" s="5">
        <f t="shared" si="8"/>
        <v>6.3239999999999998</v>
      </c>
      <c r="R156" s="5">
        <f t="shared" si="9"/>
        <v>6.4550000000000001</v>
      </c>
      <c r="S156" s="5">
        <f t="shared" si="10"/>
        <v>4</v>
      </c>
      <c r="T156" s="23">
        <f>('Investor-Inputs'!$G$19 * Q156) + ('Investor-Inputs'!$J$19 * R156) + ('Investor-Inputs'!$N$19 * S156)</f>
        <v>35.882000000000005</v>
      </c>
      <c r="U156" s="27">
        <f t="shared" si="11"/>
        <v>355</v>
      </c>
    </row>
    <row r="157" spans="3:21" x14ac:dyDescent="0.25">
      <c r="C157" s="2" t="s">
        <v>187</v>
      </c>
      <c r="D157" s="2">
        <v>5</v>
      </c>
      <c r="E157" s="2" t="s">
        <v>14</v>
      </c>
      <c r="F157" s="2" t="s">
        <v>188</v>
      </c>
      <c r="G157" s="3">
        <v>6.17</v>
      </c>
      <c r="H157" s="3">
        <v>5.68</v>
      </c>
      <c r="I157" s="3">
        <v>7.11</v>
      </c>
      <c r="J157" s="3">
        <v>6.94</v>
      </c>
      <c r="K157" s="3">
        <v>6.13</v>
      </c>
      <c r="L157" s="21">
        <v>6.75</v>
      </c>
      <c r="M157" s="3">
        <v>0.71</v>
      </c>
      <c r="N157" s="2" t="s">
        <v>171</v>
      </c>
      <c r="O157" s="4" t="s">
        <v>28</v>
      </c>
      <c r="P157" s="18" t="s">
        <v>18</v>
      </c>
      <c r="Q157" s="5">
        <f t="shared" si="8"/>
        <v>5.9090000000000007</v>
      </c>
      <c r="R157" s="5">
        <f t="shared" si="9"/>
        <v>6.8450000000000006</v>
      </c>
      <c r="S157" s="5">
        <f t="shared" si="10"/>
        <v>3.42</v>
      </c>
      <c r="T157" s="23">
        <f>('Investor-Inputs'!$G$19 * Q157) + ('Investor-Inputs'!$J$19 * R157) + ('Investor-Inputs'!$N$19 * S157)</f>
        <v>34.837000000000003</v>
      </c>
      <c r="U157" s="27">
        <f t="shared" si="11"/>
        <v>399</v>
      </c>
    </row>
    <row r="158" spans="3:21" x14ac:dyDescent="0.25">
      <c r="C158" s="2" t="s">
        <v>189</v>
      </c>
      <c r="D158" s="2">
        <v>4</v>
      </c>
      <c r="E158" s="2" t="s">
        <v>14</v>
      </c>
      <c r="F158" s="2" t="s">
        <v>188</v>
      </c>
      <c r="G158" s="3">
        <v>5.83</v>
      </c>
      <c r="H158" s="3">
        <v>5.38</v>
      </c>
      <c r="I158" s="3">
        <v>6.84</v>
      </c>
      <c r="J158" s="3">
        <v>6.64</v>
      </c>
      <c r="K158" s="3">
        <v>5.86</v>
      </c>
      <c r="L158" s="21">
        <v>6.49</v>
      </c>
      <c r="M158" s="3">
        <v>0.67</v>
      </c>
      <c r="N158" s="2" t="s">
        <v>180</v>
      </c>
      <c r="O158" s="4" t="s">
        <v>24</v>
      </c>
      <c r="P158" s="18" t="s">
        <v>18</v>
      </c>
      <c r="Q158" s="5">
        <f t="shared" si="8"/>
        <v>5.6660000000000004</v>
      </c>
      <c r="R158" s="5">
        <f t="shared" si="9"/>
        <v>6.5649999999999995</v>
      </c>
      <c r="S158" s="5">
        <f t="shared" si="10"/>
        <v>3.2650000000000001</v>
      </c>
      <c r="T158" s="23">
        <f>('Investor-Inputs'!$G$19 * Q158) + ('Investor-Inputs'!$J$19 * R158) + ('Investor-Inputs'!$N$19 * S158)</f>
        <v>33.393000000000001</v>
      </c>
      <c r="U158" s="27">
        <f t="shared" si="11"/>
        <v>470</v>
      </c>
    </row>
    <row r="159" spans="3:21" x14ac:dyDescent="0.25">
      <c r="C159" s="2" t="s">
        <v>190</v>
      </c>
      <c r="D159" s="2">
        <v>4</v>
      </c>
      <c r="E159" s="2" t="s">
        <v>14</v>
      </c>
      <c r="F159" s="2" t="s">
        <v>188</v>
      </c>
      <c r="G159" s="3">
        <v>6.02</v>
      </c>
      <c r="H159" s="3">
        <v>5.58</v>
      </c>
      <c r="I159" s="3">
        <v>6.94</v>
      </c>
      <c r="J159" s="3">
        <v>6.74</v>
      </c>
      <c r="K159" s="3">
        <v>5.88</v>
      </c>
      <c r="L159" s="21">
        <v>6.55</v>
      </c>
      <c r="M159" s="3">
        <v>0.48</v>
      </c>
      <c r="N159" s="2" t="s">
        <v>180</v>
      </c>
      <c r="O159" s="4" t="s">
        <v>17</v>
      </c>
      <c r="P159" s="18" t="s">
        <v>18</v>
      </c>
      <c r="Q159" s="5">
        <f t="shared" si="8"/>
        <v>5.7160000000000002</v>
      </c>
      <c r="R159" s="5">
        <f t="shared" si="9"/>
        <v>6.6449999999999996</v>
      </c>
      <c r="S159" s="5">
        <f t="shared" si="10"/>
        <v>3.1799999999999997</v>
      </c>
      <c r="T159" s="23">
        <f>('Investor-Inputs'!$G$19 * Q159) + ('Investor-Inputs'!$J$19 * R159) + ('Investor-Inputs'!$N$19 * S159)</f>
        <v>33.617999999999995</v>
      </c>
      <c r="U159" s="27">
        <f t="shared" si="11"/>
        <v>460</v>
      </c>
    </row>
    <row r="160" spans="3:21" x14ac:dyDescent="0.25">
      <c r="C160" s="2" t="s">
        <v>191</v>
      </c>
      <c r="D160" s="2">
        <v>5</v>
      </c>
      <c r="E160" s="2" t="s">
        <v>14</v>
      </c>
      <c r="F160" s="2" t="s">
        <v>188</v>
      </c>
      <c r="G160" s="3">
        <v>6.42</v>
      </c>
      <c r="H160" s="3">
        <v>5.9</v>
      </c>
      <c r="I160" s="3">
        <v>7.47</v>
      </c>
      <c r="J160" s="3">
        <v>7.18</v>
      </c>
      <c r="K160" s="3">
        <v>6.48</v>
      </c>
      <c r="L160" s="21">
        <v>7.05</v>
      </c>
      <c r="M160" s="3">
        <v>0.57999999999999996</v>
      </c>
      <c r="N160" s="2" t="s">
        <v>180</v>
      </c>
      <c r="O160" s="4" t="s">
        <v>28</v>
      </c>
      <c r="P160" s="18" t="s">
        <v>18</v>
      </c>
      <c r="Q160" s="5">
        <f t="shared" si="8"/>
        <v>6.2279999999999998</v>
      </c>
      <c r="R160" s="5">
        <f t="shared" si="9"/>
        <v>7.1150000000000002</v>
      </c>
      <c r="S160" s="5">
        <f t="shared" si="10"/>
        <v>3.5300000000000002</v>
      </c>
      <c r="T160" s="23">
        <f>('Investor-Inputs'!$G$19 * Q160) + ('Investor-Inputs'!$J$19 * R160) + ('Investor-Inputs'!$N$19 * S160)</f>
        <v>36.444000000000003</v>
      </c>
      <c r="U160" s="27">
        <f t="shared" si="11"/>
        <v>347</v>
      </c>
    </row>
    <row r="161" spans="3:21" x14ac:dyDescent="0.25">
      <c r="C161" s="2" t="s">
        <v>192</v>
      </c>
      <c r="D161" s="2">
        <v>4</v>
      </c>
      <c r="E161" s="2" t="s">
        <v>14</v>
      </c>
      <c r="F161" s="2" t="s">
        <v>188</v>
      </c>
      <c r="G161" s="3">
        <v>5.95</v>
      </c>
      <c r="H161" s="3">
        <v>5.48</v>
      </c>
      <c r="I161" s="3">
        <v>6.94</v>
      </c>
      <c r="J161" s="3">
        <v>6.73</v>
      </c>
      <c r="K161" s="3">
        <v>5.88</v>
      </c>
      <c r="L161" s="21">
        <v>6.54</v>
      </c>
      <c r="M161" s="3">
        <v>0.74</v>
      </c>
      <c r="N161" s="2" t="s">
        <v>180</v>
      </c>
      <c r="O161" s="4" t="s">
        <v>17</v>
      </c>
      <c r="P161" s="18" t="s">
        <v>18</v>
      </c>
      <c r="Q161" s="5">
        <f t="shared" si="8"/>
        <v>5.7160000000000002</v>
      </c>
      <c r="R161" s="5">
        <f t="shared" si="9"/>
        <v>6.6349999999999998</v>
      </c>
      <c r="S161" s="5">
        <f t="shared" si="10"/>
        <v>3.31</v>
      </c>
      <c r="T161" s="23">
        <f>('Investor-Inputs'!$G$19 * Q161) + ('Investor-Inputs'!$J$19 * R161) + ('Investor-Inputs'!$N$19 * S161)</f>
        <v>33.728000000000002</v>
      </c>
      <c r="U161" s="27">
        <f t="shared" si="11"/>
        <v>452</v>
      </c>
    </row>
    <row r="162" spans="3:21" x14ac:dyDescent="0.25">
      <c r="C162" s="2" t="s">
        <v>193</v>
      </c>
      <c r="D162" s="2">
        <v>4</v>
      </c>
      <c r="E162" s="2" t="s">
        <v>14</v>
      </c>
      <c r="F162" s="2" t="s">
        <v>188</v>
      </c>
      <c r="G162" s="3">
        <v>5.89</v>
      </c>
      <c r="H162" s="3">
        <v>5.48</v>
      </c>
      <c r="I162" s="3">
        <v>6.88</v>
      </c>
      <c r="J162" s="3">
        <v>6.69</v>
      </c>
      <c r="K162" s="3">
        <v>5.91</v>
      </c>
      <c r="L162" s="21">
        <v>6.52</v>
      </c>
      <c r="M162" s="3">
        <v>0.6</v>
      </c>
      <c r="N162" s="2" t="s">
        <v>180</v>
      </c>
      <c r="O162" s="4" t="s">
        <v>17</v>
      </c>
      <c r="P162" s="18" t="s">
        <v>18</v>
      </c>
      <c r="Q162" s="5">
        <f t="shared" si="8"/>
        <v>5.7070000000000007</v>
      </c>
      <c r="R162" s="5">
        <f t="shared" si="9"/>
        <v>6.6050000000000004</v>
      </c>
      <c r="S162" s="5">
        <f t="shared" si="10"/>
        <v>3.2549999999999999</v>
      </c>
      <c r="T162" s="23">
        <f>('Investor-Inputs'!$G$19 * Q162) + ('Investor-Inputs'!$J$19 * R162) + ('Investor-Inputs'!$N$19 * S162)</f>
        <v>33.586000000000006</v>
      </c>
      <c r="U162" s="27">
        <f t="shared" si="11"/>
        <v>462</v>
      </c>
    </row>
    <row r="163" spans="3:21" x14ac:dyDescent="0.25">
      <c r="C163" s="2" t="s">
        <v>194</v>
      </c>
      <c r="D163" s="2">
        <v>4</v>
      </c>
      <c r="E163" s="2" t="s">
        <v>14</v>
      </c>
      <c r="F163" s="2" t="s">
        <v>188</v>
      </c>
      <c r="G163" s="3">
        <v>6.21</v>
      </c>
      <c r="H163" s="3">
        <v>5.75</v>
      </c>
      <c r="I163" s="3">
        <v>7.17</v>
      </c>
      <c r="J163" s="3">
        <v>6.99</v>
      </c>
      <c r="K163" s="3">
        <v>7.24</v>
      </c>
      <c r="L163" s="21">
        <v>7</v>
      </c>
      <c r="M163" s="3">
        <v>0.42</v>
      </c>
      <c r="N163" s="2" t="s">
        <v>171</v>
      </c>
      <c r="O163" s="4" t="s">
        <v>17</v>
      </c>
      <c r="P163" s="18" t="s">
        <v>18</v>
      </c>
      <c r="Q163" s="5">
        <f t="shared" si="8"/>
        <v>6.4880000000000004</v>
      </c>
      <c r="R163" s="5">
        <f t="shared" si="9"/>
        <v>6.9950000000000001</v>
      </c>
      <c r="S163" s="5">
        <f t="shared" si="10"/>
        <v>3.83</v>
      </c>
      <c r="T163" s="23">
        <f>('Investor-Inputs'!$G$19 * Q163) + ('Investor-Inputs'!$J$19 * R163) + ('Investor-Inputs'!$N$19 * S163)</f>
        <v>37.283999999999999</v>
      </c>
      <c r="U163" s="27">
        <f t="shared" si="11"/>
        <v>337</v>
      </c>
    </row>
    <row r="164" spans="3:21" x14ac:dyDescent="0.25">
      <c r="C164" s="2" t="s">
        <v>195</v>
      </c>
      <c r="D164" s="2">
        <v>4</v>
      </c>
      <c r="E164" s="2" t="s">
        <v>14</v>
      </c>
      <c r="F164" s="2" t="s">
        <v>196</v>
      </c>
      <c r="G164" s="3">
        <v>6.45</v>
      </c>
      <c r="H164" s="3">
        <v>6.11</v>
      </c>
      <c r="I164" s="3">
        <v>7.29</v>
      </c>
      <c r="J164" s="3">
        <v>7.1</v>
      </c>
      <c r="K164" s="3">
        <v>6.32</v>
      </c>
      <c r="L164" s="21">
        <v>6.92</v>
      </c>
      <c r="M164" s="3">
        <v>0.57999999999999996</v>
      </c>
      <c r="N164" s="2" t="s">
        <v>171</v>
      </c>
      <c r="O164" s="4" t="s">
        <v>28</v>
      </c>
      <c r="P164" s="18" t="s">
        <v>18</v>
      </c>
      <c r="Q164" s="5">
        <f t="shared" si="8"/>
        <v>6.0760000000000005</v>
      </c>
      <c r="R164" s="5">
        <f t="shared" si="9"/>
        <v>7.01</v>
      </c>
      <c r="S164" s="5">
        <f t="shared" si="10"/>
        <v>3.45</v>
      </c>
      <c r="T164" s="23">
        <f>('Investor-Inputs'!$G$19 * Q164) + ('Investor-Inputs'!$J$19 * R164) + ('Investor-Inputs'!$N$19 * S164)</f>
        <v>35.698000000000008</v>
      </c>
      <c r="U164" s="27">
        <f t="shared" si="11"/>
        <v>365</v>
      </c>
    </row>
    <row r="165" spans="3:21" x14ac:dyDescent="0.25">
      <c r="C165" s="2" t="s">
        <v>197</v>
      </c>
      <c r="D165" s="2">
        <v>4</v>
      </c>
      <c r="E165" s="2" t="s">
        <v>14</v>
      </c>
      <c r="F165" s="2" t="s">
        <v>196</v>
      </c>
      <c r="G165" s="3">
        <v>6.23</v>
      </c>
      <c r="H165" s="3">
        <v>6.07</v>
      </c>
      <c r="I165" s="3">
        <v>6.97</v>
      </c>
      <c r="J165" s="3">
        <v>6.8</v>
      </c>
      <c r="K165" s="3">
        <v>5.98</v>
      </c>
      <c r="L165" s="21">
        <v>6.62</v>
      </c>
      <c r="M165" s="3">
        <v>0.47</v>
      </c>
      <c r="N165" s="2" t="s">
        <v>180</v>
      </c>
      <c r="O165" s="4" t="s">
        <v>17</v>
      </c>
      <c r="P165" s="18" t="s">
        <v>18</v>
      </c>
      <c r="Q165" s="5">
        <f t="shared" si="8"/>
        <v>5.7780000000000005</v>
      </c>
      <c r="R165" s="5">
        <f t="shared" si="9"/>
        <v>6.71</v>
      </c>
      <c r="S165" s="5">
        <f t="shared" si="10"/>
        <v>3.2250000000000001</v>
      </c>
      <c r="T165" s="23">
        <f>('Investor-Inputs'!$G$19 * Q165) + ('Investor-Inputs'!$J$19 * R165) + ('Investor-Inputs'!$N$19 * S165)</f>
        <v>33.979000000000006</v>
      </c>
      <c r="U165" s="27">
        <f t="shared" si="11"/>
        <v>430</v>
      </c>
    </row>
    <row r="166" spans="3:21" x14ac:dyDescent="0.25">
      <c r="C166" s="2" t="s">
        <v>198</v>
      </c>
      <c r="D166" s="2">
        <v>5</v>
      </c>
      <c r="E166" s="2" t="s">
        <v>14</v>
      </c>
      <c r="F166" s="2" t="s">
        <v>196</v>
      </c>
      <c r="G166" s="3">
        <v>6.3</v>
      </c>
      <c r="H166" s="3">
        <v>6.13</v>
      </c>
      <c r="I166" s="3">
        <v>7.06</v>
      </c>
      <c r="J166" s="3">
        <v>6.87</v>
      </c>
      <c r="K166" s="3">
        <v>6.19</v>
      </c>
      <c r="L166" s="21">
        <v>6.76</v>
      </c>
      <c r="M166" s="3">
        <v>0.43</v>
      </c>
      <c r="N166" s="2" t="s">
        <v>180</v>
      </c>
      <c r="O166" s="4" t="s">
        <v>17</v>
      </c>
      <c r="P166" s="18" t="s">
        <v>18</v>
      </c>
      <c r="Q166" s="5">
        <f t="shared" si="8"/>
        <v>5.9190000000000005</v>
      </c>
      <c r="R166" s="5">
        <f t="shared" si="9"/>
        <v>6.8149999999999995</v>
      </c>
      <c r="S166" s="5">
        <f t="shared" si="10"/>
        <v>3.31</v>
      </c>
      <c r="T166" s="23">
        <f>('Investor-Inputs'!$G$19 * Q166) + ('Investor-Inputs'!$J$19 * R166) + ('Investor-Inputs'!$N$19 * S166)</f>
        <v>34.697000000000003</v>
      </c>
      <c r="U166" s="27">
        <f t="shared" si="11"/>
        <v>405</v>
      </c>
    </row>
    <row r="167" spans="3:21" x14ac:dyDescent="0.25">
      <c r="C167" s="2" t="s">
        <v>199</v>
      </c>
      <c r="D167" s="2">
        <v>4</v>
      </c>
      <c r="E167" s="2" t="s">
        <v>14</v>
      </c>
      <c r="F167" s="2" t="s">
        <v>196</v>
      </c>
      <c r="G167" s="3">
        <v>6.28</v>
      </c>
      <c r="H167" s="3">
        <v>6.14</v>
      </c>
      <c r="I167" s="3">
        <v>6.99</v>
      </c>
      <c r="J167" s="3">
        <v>6.84</v>
      </c>
      <c r="K167" s="3">
        <v>6.02</v>
      </c>
      <c r="L167" s="21">
        <v>6.66</v>
      </c>
      <c r="M167" s="3">
        <v>0.42</v>
      </c>
      <c r="N167" s="2" t="s">
        <v>180</v>
      </c>
      <c r="O167" s="4" t="s">
        <v>17</v>
      </c>
      <c r="P167" s="18" t="s">
        <v>18</v>
      </c>
      <c r="Q167" s="5">
        <f t="shared" si="8"/>
        <v>5.806</v>
      </c>
      <c r="R167" s="5">
        <f t="shared" si="9"/>
        <v>6.75</v>
      </c>
      <c r="S167" s="5">
        <f t="shared" si="10"/>
        <v>3.2199999999999998</v>
      </c>
      <c r="T167" s="23">
        <f>('Investor-Inputs'!$G$19 * Q167) + ('Investor-Inputs'!$J$19 * R167) + ('Investor-Inputs'!$N$19 * S167)</f>
        <v>34.137999999999998</v>
      </c>
      <c r="U167" s="27">
        <f t="shared" si="11"/>
        <v>418</v>
      </c>
    </row>
    <row r="168" spans="3:21" x14ac:dyDescent="0.25">
      <c r="C168" s="2" t="s">
        <v>200</v>
      </c>
      <c r="D168" s="2">
        <v>4</v>
      </c>
      <c r="E168" s="2" t="s">
        <v>14</v>
      </c>
      <c r="F168" s="2" t="s">
        <v>196</v>
      </c>
      <c r="G168" s="3">
        <v>6.33</v>
      </c>
      <c r="H168" s="3">
        <v>6.04</v>
      </c>
      <c r="I168" s="3">
        <v>7</v>
      </c>
      <c r="J168" s="3">
        <v>6.85</v>
      </c>
      <c r="K168" s="3">
        <v>6.1</v>
      </c>
      <c r="L168" s="21">
        <v>6.67</v>
      </c>
      <c r="M168" s="3">
        <v>0.77</v>
      </c>
      <c r="N168" s="2" t="s">
        <v>171</v>
      </c>
      <c r="O168" s="4" t="s">
        <v>17</v>
      </c>
      <c r="P168" s="18" t="s">
        <v>18</v>
      </c>
      <c r="Q168" s="5">
        <f t="shared" si="8"/>
        <v>5.85</v>
      </c>
      <c r="R168" s="5">
        <f t="shared" si="9"/>
        <v>6.76</v>
      </c>
      <c r="S168" s="5">
        <f t="shared" si="10"/>
        <v>3.4349999999999996</v>
      </c>
      <c r="T168" s="23">
        <f>('Investor-Inputs'!$G$19 * Q168) + ('Investor-Inputs'!$J$19 * R168) + ('Investor-Inputs'!$N$19 * S168)</f>
        <v>34.504999999999995</v>
      </c>
      <c r="U168" s="27">
        <f t="shared" si="11"/>
        <v>409</v>
      </c>
    </row>
    <row r="169" spans="3:21" x14ac:dyDescent="0.25">
      <c r="C169" s="2" t="s">
        <v>201</v>
      </c>
      <c r="D169" s="2">
        <v>4</v>
      </c>
      <c r="E169" s="2" t="s">
        <v>14</v>
      </c>
      <c r="F169" s="2" t="s">
        <v>196</v>
      </c>
      <c r="G169" s="3">
        <v>6.06</v>
      </c>
      <c r="H169" s="3">
        <v>5.91</v>
      </c>
      <c r="I169" s="3">
        <v>6.85</v>
      </c>
      <c r="J169" s="3">
        <v>6.7</v>
      </c>
      <c r="K169" s="3">
        <v>5.78</v>
      </c>
      <c r="L169" s="21">
        <v>6.47</v>
      </c>
      <c r="M169" s="3">
        <v>0.83</v>
      </c>
      <c r="N169" s="2" t="s">
        <v>171</v>
      </c>
      <c r="O169" s="4" t="s">
        <v>24</v>
      </c>
      <c r="P169" s="18" t="s">
        <v>18</v>
      </c>
      <c r="Q169" s="5">
        <f t="shared" si="8"/>
        <v>5.6300000000000008</v>
      </c>
      <c r="R169" s="5">
        <f t="shared" si="9"/>
        <v>6.585</v>
      </c>
      <c r="S169" s="5">
        <f t="shared" si="10"/>
        <v>3.3050000000000002</v>
      </c>
      <c r="T169" s="23">
        <f>('Investor-Inputs'!$G$19 * Q169) + ('Investor-Inputs'!$J$19 * R169) + ('Investor-Inputs'!$N$19 * S169)</f>
        <v>33.365000000000002</v>
      </c>
      <c r="U169" s="27">
        <f t="shared" si="11"/>
        <v>476</v>
      </c>
    </row>
    <row r="170" spans="3:21" x14ac:dyDescent="0.25">
      <c r="C170" s="2" t="s">
        <v>202</v>
      </c>
      <c r="D170" s="2">
        <v>5</v>
      </c>
      <c r="E170" s="2" t="s">
        <v>14</v>
      </c>
      <c r="F170" s="2" t="s">
        <v>196</v>
      </c>
      <c r="G170" s="3">
        <v>6.36</v>
      </c>
      <c r="H170" s="3">
        <v>6.13</v>
      </c>
      <c r="I170" s="3">
        <v>7.16</v>
      </c>
      <c r="J170" s="3">
        <v>6.97</v>
      </c>
      <c r="K170" s="3">
        <v>6.17</v>
      </c>
      <c r="L170" s="21">
        <v>6.79</v>
      </c>
      <c r="M170" s="3">
        <v>0.51</v>
      </c>
      <c r="N170" s="2" t="s">
        <v>180</v>
      </c>
      <c r="O170" s="4" t="s">
        <v>28</v>
      </c>
      <c r="P170" s="18" t="s">
        <v>18</v>
      </c>
      <c r="Q170" s="5">
        <f t="shared" si="8"/>
        <v>5.9489999999999998</v>
      </c>
      <c r="R170" s="5">
        <f t="shared" si="9"/>
        <v>6.88</v>
      </c>
      <c r="S170" s="5">
        <f t="shared" si="10"/>
        <v>3.34</v>
      </c>
      <c r="T170" s="23">
        <f>('Investor-Inputs'!$G$19 * Q170) + ('Investor-Inputs'!$J$19 * R170) + ('Investor-Inputs'!$N$19 * S170)</f>
        <v>34.947000000000003</v>
      </c>
      <c r="U170" s="27">
        <f t="shared" si="11"/>
        <v>395</v>
      </c>
    </row>
    <row r="171" spans="3:21" x14ac:dyDescent="0.25">
      <c r="C171" s="2" t="s">
        <v>203</v>
      </c>
      <c r="D171" s="2">
        <v>5</v>
      </c>
      <c r="E171" s="2" t="s">
        <v>14</v>
      </c>
      <c r="F171" s="2" t="s">
        <v>196</v>
      </c>
      <c r="G171" s="3">
        <v>6.19</v>
      </c>
      <c r="H171" s="3">
        <v>5.97</v>
      </c>
      <c r="I171" s="3">
        <v>6.96</v>
      </c>
      <c r="J171" s="3">
        <v>6.78</v>
      </c>
      <c r="K171" s="3">
        <v>5.98</v>
      </c>
      <c r="L171" s="21">
        <v>6.61</v>
      </c>
      <c r="M171" s="3">
        <v>0.56000000000000005</v>
      </c>
      <c r="N171" s="2" t="s">
        <v>171</v>
      </c>
      <c r="O171" s="4" t="s">
        <v>17</v>
      </c>
      <c r="P171" s="18" t="s">
        <v>18</v>
      </c>
      <c r="Q171" s="5">
        <f t="shared" si="8"/>
        <v>5.7740000000000009</v>
      </c>
      <c r="R171" s="5">
        <f t="shared" si="9"/>
        <v>6.6950000000000003</v>
      </c>
      <c r="S171" s="5">
        <f t="shared" si="10"/>
        <v>3.2700000000000005</v>
      </c>
      <c r="T171" s="23">
        <f>('Investor-Inputs'!$G$19 * Q171) + ('Investor-Inputs'!$J$19 * R171) + ('Investor-Inputs'!$N$19 * S171)</f>
        <v>33.982000000000006</v>
      </c>
      <c r="U171" s="27">
        <f t="shared" si="11"/>
        <v>428</v>
      </c>
    </row>
    <row r="172" spans="3:21" x14ac:dyDescent="0.25">
      <c r="C172" s="2" t="s">
        <v>204</v>
      </c>
      <c r="D172" s="2">
        <v>4</v>
      </c>
      <c r="E172" s="2" t="s">
        <v>14</v>
      </c>
      <c r="F172" s="2" t="s">
        <v>205</v>
      </c>
      <c r="G172" s="3">
        <v>6.22</v>
      </c>
      <c r="H172" s="3">
        <v>6.35</v>
      </c>
      <c r="I172" s="3">
        <v>6.91</v>
      </c>
      <c r="J172" s="3">
        <v>6.74</v>
      </c>
      <c r="K172" s="3">
        <v>6.02</v>
      </c>
      <c r="L172" s="21">
        <v>6.6</v>
      </c>
      <c r="M172" s="3">
        <v>0.35</v>
      </c>
      <c r="N172" s="2" t="s">
        <v>171</v>
      </c>
      <c r="O172" s="4" t="s">
        <v>17</v>
      </c>
      <c r="P172" s="18" t="s">
        <v>18</v>
      </c>
      <c r="Q172" s="5">
        <f t="shared" si="8"/>
        <v>5.774</v>
      </c>
      <c r="R172" s="5">
        <f t="shared" si="9"/>
        <v>6.67</v>
      </c>
      <c r="S172" s="5">
        <f t="shared" si="10"/>
        <v>3.1849999999999996</v>
      </c>
      <c r="T172" s="23">
        <f>('Investor-Inputs'!$G$19 * Q172) + ('Investor-Inputs'!$J$19 * R172) + ('Investor-Inputs'!$N$19 * S172)</f>
        <v>33.847000000000001</v>
      </c>
      <c r="U172" s="27">
        <f t="shared" si="11"/>
        <v>442</v>
      </c>
    </row>
    <row r="173" spans="3:21" x14ac:dyDescent="0.25">
      <c r="C173" s="2" t="s">
        <v>206</v>
      </c>
      <c r="D173" s="2">
        <v>4</v>
      </c>
      <c r="E173" s="2" t="s">
        <v>14</v>
      </c>
      <c r="F173" s="2" t="s">
        <v>205</v>
      </c>
      <c r="G173" s="3">
        <v>6.26</v>
      </c>
      <c r="H173" s="3">
        <v>6.39</v>
      </c>
      <c r="I173" s="3">
        <v>6.95</v>
      </c>
      <c r="J173" s="3">
        <v>6.78</v>
      </c>
      <c r="K173" s="3">
        <v>6.05</v>
      </c>
      <c r="L173" s="21">
        <v>6.64</v>
      </c>
      <c r="M173" s="3">
        <v>0.21</v>
      </c>
      <c r="N173" s="2" t="s">
        <v>171</v>
      </c>
      <c r="O173" s="4" t="s">
        <v>17</v>
      </c>
      <c r="P173" s="18" t="s">
        <v>18</v>
      </c>
      <c r="Q173" s="5">
        <f t="shared" si="8"/>
        <v>5.8049999999999997</v>
      </c>
      <c r="R173" s="5">
        <f t="shared" si="9"/>
        <v>6.71</v>
      </c>
      <c r="S173" s="5">
        <f t="shared" si="10"/>
        <v>3.13</v>
      </c>
      <c r="T173" s="23">
        <f>('Investor-Inputs'!$G$19 * Q173) + ('Investor-Inputs'!$J$19 * R173) + ('Investor-Inputs'!$N$19 * S173)</f>
        <v>33.965000000000003</v>
      </c>
      <c r="U173" s="27">
        <f t="shared" si="11"/>
        <v>432</v>
      </c>
    </row>
    <row r="174" spans="3:21" x14ac:dyDescent="0.25">
      <c r="C174" s="2" t="s">
        <v>207</v>
      </c>
      <c r="D174" s="2">
        <v>5</v>
      </c>
      <c r="E174" s="2" t="s">
        <v>14</v>
      </c>
      <c r="F174" s="2" t="s">
        <v>205</v>
      </c>
      <c r="G174" s="3">
        <v>6.26</v>
      </c>
      <c r="H174" s="3">
        <v>6.36</v>
      </c>
      <c r="I174" s="3">
        <v>6.98</v>
      </c>
      <c r="J174" s="3">
        <v>6.79</v>
      </c>
      <c r="K174" s="3">
        <v>6.06</v>
      </c>
      <c r="L174" s="21">
        <v>6.65</v>
      </c>
      <c r="M174" s="3">
        <v>0.14000000000000001</v>
      </c>
      <c r="N174" s="2" t="s">
        <v>180</v>
      </c>
      <c r="O174" s="4" t="s">
        <v>28</v>
      </c>
      <c r="P174" s="18" t="s">
        <v>18</v>
      </c>
      <c r="Q174" s="5">
        <f t="shared" si="8"/>
        <v>5.8220000000000001</v>
      </c>
      <c r="R174" s="5">
        <f t="shared" si="9"/>
        <v>6.7200000000000006</v>
      </c>
      <c r="S174" s="5">
        <f t="shared" si="10"/>
        <v>3.0999999999999996</v>
      </c>
      <c r="T174" s="23">
        <f>('Investor-Inputs'!$G$19 * Q174) + ('Investor-Inputs'!$J$19 * R174) + ('Investor-Inputs'!$N$19 * S174)</f>
        <v>34.006</v>
      </c>
      <c r="U174" s="27">
        <f t="shared" si="11"/>
        <v>424</v>
      </c>
    </row>
    <row r="175" spans="3:21" x14ac:dyDescent="0.25">
      <c r="C175" s="2" t="s">
        <v>208</v>
      </c>
      <c r="D175" s="2">
        <v>4</v>
      </c>
      <c r="E175" s="2" t="s">
        <v>14</v>
      </c>
      <c r="F175" s="2" t="s">
        <v>205</v>
      </c>
      <c r="G175" s="3">
        <v>6.24</v>
      </c>
      <c r="H175" s="3">
        <v>6.37</v>
      </c>
      <c r="I175" s="3">
        <v>6.92</v>
      </c>
      <c r="J175" s="3">
        <v>6.76</v>
      </c>
      <c r="K175" s="3">
        <v>6</v>
      </c>
      <c r="L175" s="21">
        <v>6.6</v>
      </c>
      <c r="M175" s="3">
        <v>0.21</v>
      </c>
      <c r="N175" s="2" t="s">
        <v>180</v>
      </c>
      <c r="O175" s="4" t="s">
        <v>17</v>
      </c>
      <c r="P175" s="18" t="s">
        <v>18</v>
      </c>
      <c r="Q175" s="5">
        <f t="shared" si="8"/>
        <v>5.7680000000000007</v>
      </c>
      <c r="R175" s="5">
        <f t="shared" si="9"/>
        <v>6.68</v>
      </c>
      <c r="S175" s="5">
        <f t="shared" si="10"/>
        <v>3.105</v>
      </c>
      <c r="T175" s="23">
        <f>('Investor-Inputs'!$G$19 * Q175) + ('Investor-Inputs'!$J$19 * R175) + ('Investor-Inputs'!$N$19 * S175)</f>
        <v>33.768999999999998</v>
      </c>
      <c r="U175" s="27">
        <f t="shared" si="11"/>
        <v>450</v>
      </c>
    </row>
    <row r="176" spans="3:21" x14ac:dyDescent="0.25">
      <c r="C176" s="2" t="s">
        <v>209</v>
      </c>
      <c r="D176" s="2">
        <v>5</v>
      </c>
      <c r="E176" s="2" t="s">
        <v>14</v>
      </c>
      <c r="F176" s="2" t="s">
        <v>205</v>
      </c>
      <c r="G176" s="3">
        <v>6.26</v>
      </c>
      <c r="H176" s="3">
        <v>6.37</v>
      </c>
      <c r="I176" s="3">
        <v>6.89</v>
      </c>
      <c r="J176" s="3">
        <v>6.75</v>
      </c>
      <c r="K176" s="3">
        <v>5.94</v>
      </c>
      <c r="L176" s="21">
        <v>6.56</v>
      </c>
      <c r="M176" s="3">
        <v>0.19</v>
      </c>
      <c r="N176" s="2" t="s">
        <v>180</v>
      </c>
      <c r="O176" s="4" t="s">
        <v>28</v>
      </c>
      <c r="P176" s="18" t="s">
        <v>18</v>
      </c>
      <c r="Q176" s="5">
        <f t="shared" si="8"/>
        <v>5.7260000000000009</v>
      </c>
      <c r="R176" s="5">
        <f t="shared" si="9"/>
        <v>6.6549999999999994</v>
      </c>
      <c r="S176" s="5">
        <f t="shared" si="10"/>
        <v>3.0650000000000004</v>
      </c>
      <c r="T176" s="23">
        <f>('Investor-Inputs'!$G$19 * Q176) + ('Investor-Inputs'!$J$19 * R176) + ('Investor-Inputs'!$N$19 * S176)</f>
        <v>33.553000000000004</v>
      </c>
      <c r="U176" s="27">
        <f t="shared" si="11"/>
        <v>466</v>
      </c>
    </row>
    <row r="177" spans="3:21" x14ac:dyDescent="0.25">
      <c r="C177" s="2" t="s">
        <v>210</v>
      </c>
      <c r="D177" s="2">
        <v>4</v>
      </c>
      <c r="E177" s="2" t="s">
        <v>14</v>
      </c>
      <c r="F177" s="2" t="s">
        <v>205</v>
      </c>
      <c r="G177" s="3">
        <v>6.24</v>
      </c>
      <c r="H177" s="3">
        <v>6.32</v>
      </c>
      <c r="I177" s="3">
        <v>6.94</v>
      </c>
      <c r="J177" s="3">
        <v>6.77</v>
      </c>
      <c r="K177" s="3">
        <v>6.02</v>
      </c>
      <c r="L177" s="21">
        <v>6.62</v>
      </c>
      <c r="M177" s="3">
        <v>0.2</v>
      </c>
      <c r="N177" s="2" t="s">
        <v>180</v>
      </c>
      <c r="O177" s="4" t="s">
        <v>28</v>
      </c>
      <c r="P177" s="18" t="s">
        <v>18</v>
      </c>
      <c r="Q177" s="5">
        <f t="shared" si="8"/>
        <v>5.7859999999999996</v>
      </c>
      <c r="R177" s="5">
        <f t="shared" si="9"/>
        <v>6.6950000000000003</v>
      </c>
      <c r="S177" s="5">
        <f t="shared" si="10"/>
        <v>3.11</v>
      </c>
      <c r="T177" s="23">
        <f>('Investor-Inputs'!$G$19 * Q177) + ('Investor-Inputs'!$J$19 * R177) + ('Investor-Inputs'!$N$19 * S177)</f>
        <v>33.857999999999997</v>
      </c>
      <c r="U177" s="27">
        <f t="shared" si="11"/>
        <v>440</v>
      </c>
    </row>
    <row r="178" spans="3:21" x14ac:dyDescent="0.25">
      <c r="C178" s="2" t="s">
        <v>211</v>
      </c>
      <c r="D178" s="2">
        <v>4</v>
      </c>
      <c r="E178" s="2" t="s">
        <v>14</v>
      </c>
      <c r="F178" s="2" t="s">
        <v>205</v>
      </c>
      <c r="G178" s="3">
        <v>6.2</v>
      </c>
      <c r="H178" s="3">
        <v>6.3</v>
      </c>
      <c r="I178" s="3">
        <v>6.89</v>
      </c>
      <c r="J178" s="3">
        <v>6.74</v>
      </c>
      <c r="K178" s="3">
        <v>5.87</v>
      </c>
      <c r="L178" s="21">
        <v>6.53</v>
      </c>
      <c r="M178" s="3">
        <v>0.2</v>
      </c>
      <c r="N178" s="2" t="s">
        <v>180</v>
      </c>
      <c r="O178" s="4" t="s">
        <v>17</v>
      </c>
      <c r="P178" s="18" t="s">
        <v>18</v>
      </c>
      <c r="Q178" s="5">
        <f t="shared" si="8"/>
        <v>5.6910000000000007</v>
      </c>
      <c r="R178" s="5">
        <f t="shared" si="9"/>
        <v>6.6349999999999998</v>
      </c>
      <c r="S178" s="5">
        <f t="shared" si="10"/>
        <v>3.0350000000000001</v>
      </c>
      <c r="T178" s="23">
        <f>('Investor-Inputs'!$G$19 * Q178) + ('Investor-Inputs'!$J$19 * R178) + ('Investor-Inputs'!$N$19 * S178)</f>
        <v>33.378</v>
      </c>
      <c r="U178" s="27">
        <f t="shared" si="11"/>
        <v>472</v>
      </c>
    </row>
    <row r="179" spans="3:21" x14ac:dyDescent="0.25">
      <c r="C179" s="2" t="s">
        <v>212</v>
      </c>
      <c r="D179" s="2">
        <v>5</v>
      </c>
      <c r="E179" s="2" t="s">
        <v>14</v>
      </c>
      <c r="F179" s="2" t="s">
        <v>205</v>
      </c>
      <c r="G179" s="3">
        <v>6.22</v>
      </c>
      <c r="H179" s="3">
        <v>6.33</v>
      </c>
      <c r="I179" s="3">
        <v>6.92</v>
      </c>
      <c r="J179" s="3">
        <v>6.74</v>
      </c>
      <c r="K179" s="3">
        <v>6.01</v>
      </c>
      <c r="L179" s="21">
        <v>6.59</v>
      </c>
      <c r="M179" s="3">
        <v>0.24</v>
      </c>
      <c r="N179" s="2" t="s">
        <v>180</v>
      </c>
      <c r="O179" s="4" t="s">
        <v>28</v>
      </c>
      <c r="P179" s="18" t="s">
        <v>18</v>
      </c>
      <c r="Q179" s="5">
        <f t="shared" si="8"/>
        <v>5.7729999999999997</v>
      </c>
      <c r="R179" s="5">
        <f t="shared" si="9"/>
        <v>6.665</v>
      </c>
      <c r="S179" s="5">
        <f t="shared" si="10"/>
        <v>3.125</v>
      </c>
      <c r="T179" s="23">
        <f>('Investor-Inputs'!$G$19 * Q179) + ('Investor-Inputs'!$J$19 * R179) + ('Investor-Inputs'!$N$19 * S179)</f>
        <v>33.774000000000001</v>
      </c>
      <c r="U179" s="27">
        <f t="shared" si="11"/>
        <v>446</v>
      </c>
    </row>
    <row r="180" spans="3:21" x14ac:dyDescent="0.25">
      <c r="C180" s="2" t="s">
        <v>213</v>
      </c>
      <c r="D180" s="2">
        <v>4</v>
      </c>
      <c r="E180" s="2" t="s">
        <v>14</v>
      </c>
      <c r="F180" s="2" t="s">
        <v>205</v>
      </c>
      <c r="G180" s="3">
        <v>6.21</v>
      </c>
      <c r="H180" s="3">
        <v>6.32</v>
      </c>
      <c r="I180" s="3">
        <v>6.91</v>
      </c>
      <c r="J180" s="3">
        <v>6.73</v>
      </c>
      <c r="K180" s="3">
        <v>6.02</v>
      </c>
      <c r="L180" s="21">
        <v>6.6</v>
      </c>
      <c r="M180" s="3">
        <v>0.26</v>
      </c>
      <c r="N180" s="2" t="s">
        <v>171</v>
      </c>
      <c r="O180" s="4" t="s">
        <v>17</v>
      </c>
      <c r="P180" s="18" t="s">
        <v>18</v>
      </c>
      <c r="Q180" s="5">
        <f t="shared" si="8"/>
        <v>5.774</v>
      </c>
      <c r="R180" s="5">
        <f t="shared" si="9"/>
        <v>6.665</v>
      </c>
      <c r="S180" s="5">
        <f t="shared" si="10"/>
        <v>3.1399999999999997</v>
      </c>
      <c r="T180" s="23">
        <f>('Investor-Inputs'!$G$19 * Q180) + ('Investor-Inputs'!$J$19 * R180) + ('Investor-Inputs'!$N$19 * S180)</f>
        <v>33.792000000000002</v>
      </c>
      <c r="U180" s="27">
        <f t="shared" si="11"/>
        <v>444</v>
      </c>
    </row>
    <row r="181" spans="3:21" x14ac:dyDescent="0.25">
      <c r="C181" s="2" t="s">
        <v>214</v>
      </c>
      <c r="D181" s="2">
        <v>4</v>
      </c>
      <c r="E181" s="2" t="s">
        <v>14</v>
      </c>
      <c r="F181" s="2" t="s">
        <v>205</v>
      </c>
      <c r="G181" s="3">
        <v>6.17</v>
      </c>
      <c r="H181" s="3">
        <v>6.26</v>
      </c>
      <c r="I181" s="3">
        <v>6.89</v>
      </c>
      <c r="J181" s="3">
        <v>6.7</v>
      </c>
      <c r="K181" s="3">
        <v>6</v>
      </c>
      <c r="L181" s="21">
        <v>6.57</v>
      </c>
      <c r="M181" s="3">
        <v>0.21</v>
      </c>
      <c r="N181" s="2" t="s">
        <v>180</v>
      </c>
      <c r="O181" s="4" t="s">
        <v>17</v>
      </c>
      <c r="P181" s="18" t="s">
        <v>18</v>
      </c>
      <c r="Q181" s="5">
        <f t="shared" si="8"/>
        <v>5.7560000000000002</v>
      </c>
      <c r="R181" s="5">
        <f t="shared" si="9"/>
        <v>6.6349999999999998</v>
      </c>
      <c r="S181" s="5">
        <f t="shared" si="10"/>
        <v>3.105</v>
      </c>
      <c r="T181" s="23">
        <f>('Investor-Inputs'!$G$19 * Q181) + ('Investor-Inputs'!$J$19 * R181) + ('Investor-Inputs'!$N$19 * S181)</f>
        <v>33.643000000000001</v>
      </c>
      <c r="U181" s="27">
        <f t="shared" si="11"/>
        <v>458</v>
      </c>
    </row>
    <row r="182" spans="3:21" x14ac:dyDescent="0.25">
      <c r="C182" s="2" t="s">
        <v>215</v>
      </c>
      <c r="D182" s="2">
        <v>4</v>
      </c>
      <c r="E182" s="2" t="s">
        <v>14</v>
      </c>
      <c r="F182" s="2" t="s">
        <v>205</v>
      </c>
      <c r="G182" s="3">
        <v>6.2</v>
      </c>
      <c r="H182" s="3">
        <v>6.33</v>
      </c>
      <c r="I182" s="3">
        <v>6.9</v>
      </c>
      <c r="J182" s="3">
        <v>6.73</v>
      </c>
      <c r="K182" s="3">
        <v>6</v>
      </c>
      <c r="L182" s="21">
        <v>6.58</v>
      </c>
      <c r="M182" s="3">
        <v>0.22</v>
      </c>
      <c r="N182" s="2" t="s">
        <v>180</v>
      </c>
      <c r="O182" s="4" t="s">
        <v>17</v>
      </c>
      <c r="P182" s="18" t="s">
        <v>18</v>
      </c>
      <c r="Q182" s="5">
        <f t="shared" si="8"/>
        <v>5.76</v>
      </c>
      <c r="R182" s="5">
        <f t="shared" si="9"/>
        <v>6.6550000000000002</v>
      </c>
      <c r="S182" s="5">
        <f t="shared" si="10"/>
        <v>3.11</v>
      </c>
      <c r="T182" s="23">
        <f>('Investor-Inputs'!$G$19 * Q182) + ('Investor-Inputs'!$J$19 * R182) + ('Investor-Inputs'!$N$19 * S182)</f>
        <v>33.700000000000003</v>
      </c>
      <c r="U182" s="27">
        <f t="shared" si="11"/>
        <v>454</v>
      </c>
    </row>
    <row r="183" spans="3:21" x14ac:dyDescent="0.25">
      <c r="C183" s="2" t="s">
        <v>216</v>
      </c>
      <c r="D183" s="2">
        <v>4</v>
      </c>
      <c r="E183" s="2" t="s">
        <v>14</v>
      </c>
      <c r="F183" s="2" t="s">
        <v>205</v>
      </c>
      <c r="G183" s="3">
        <v>6.2</v>
      </c>
      <c r="H183" s="3">
        <v>6.3</v>
      </c>
      <c r="I183" s="3">
        <v>6.89</v>
      </c>
      <c r="J183" s="3">
        <v>6.72</v>
      </c>
      <c r="K183" s="3">
        <v>5.97</v>
      </c>
      <c r="L183" s="21">
        <v>6.57</v>
      </c>
      <c r="M183" s="3">
        <v>0.33</v>
      </c>
      <c r="N183" s="2" t="s">
        <v>180</v>
      </c>
      <c r="O183" s="4" t="s">
        <v>17</v>
      </c>
      <c r="P183" s="18" t="s">
        <v>18</v>
      </c>
      <c r="Q183" s="5">
        <f t="shared" si="8"/>
        <v>5.7409999999999997</v>
      </c>
      <c r="R183" s="5">
        <f t="shared" si="9"/>
        <v>6.6449999999999996</v>
      </c>
      <c r="S183" s="5">
        <f t="shared" si="10"/>
        <v>3.15</v>
      </c>
      <c r="T183" s="23">
        <f>('Investor-Inputs'!$G$19 * Q183) + ('Investor-Inputs'!$J$19 * R183) + ('Investor-Inputs'!$N$19 * S183)</f>
        <v>33.662999999999997</v>
      </c>
      <c r="U183" s="27">
        <f t="shared" si="11"/>
        <v>456</v>
      </c>
    </row>
    <row r="184" spans="3:21" x14ac:dyDescent="0.25">
      <c r="C184" s="2" t="s">
        <v>217</v>
      </c>
      <c r="D184" s="2">
        <v>4</v>
      </c>
      <c r="E184" s="2" t="s">
        <v>14</v>
      </c>
      <c r="F184" s="2" t="s">
        <v>205</v>
      </c>
      <c r="G184" s="3">
        <v>6.21</v>
      </c>
      <c r="H184" s="3">
        <v>6.33</v>
      </c>
      <c r="I184" s="3">
        <v>6.92</v>
      </c>
      <c r="J184" s="3">
        <v>6.74</v>
      </c>
      <c r="K184" s="3">
        <v>6.02</v>
      </c>
      <c r="L184" s="21">
        <v>6.6</v>
      </c>
      <c r="M184" s="3">
        <v>0.17</v>
      </c>
      <c r="N184" s="2" t="s">
        <v>180</v>
      </c>
      <c r="O184" s="4" t="s">
        <v>17</v>
      </c>
      <c r="P184" s="18" t="s">
        <v>18</v>
      </c>
      <c r="Q184" s="5">
        <f t="shared" si="8"/>
        <v>5.7780000000000005</v>
      </c>
      <c r="R184" s="5">
        <f t="shared" si="9"/>
        <v>6.67</v>
      </c>
      <c r="S184" s="5">
        <f t="shared" si="10"/>
        <v>3.0949999999999998</v>
      </c>
      <c r="T184" s="23">
        <f>('Investor-Inputs'!$G$19 * Q184) + ('Investor-Inputs'!$J$19 * R184) + ('Investor-Inputs'!$N$19 * S184)</f>
        <v>33.769000000000005</v>
      </c>
      <c r="U184" s="27">
        <f t="shared" si="11"/>
        <v>448</v>
      </c>
    </row>
    <row r="185" spans="3:21" x14ac:dyDescent="0.25">
      <c r="C185" s="2" t="s">
        <v>218</v>
      </c>
      <c r="D185" s="2">
        <v>4</v>
      </c>
      <c r="E185" s="2" t="s">
        <v>14</v>
      </c>
      <c r="F185" s="2" t="s">
        <v>219</v>
      </c>
      <c r="G185" s="3">
        <v>6.3</v>
      </c>
      <c r="H185" s="3">
        <v>5.98</v>
      </c>
      <c r="I185" s="3">
        <v>7.28</v>
      </c>
      <c r="J185" s="3">
        <v>7.04</v>
      </c>
      <c r="K185" s="3">
        <v>6.35</v>
      </c>
      <c r="L185" s="21">
        <v>6.93</v>
      </c>
      <c r="M185" s="3">
        <v>0.37</v>
      </c>
      <c r="N185" s="2" t="s">
        <v>171</v>
      </c>
      <c r="O185" s="4" t="s">
        <v>24</v>
      </c>
      <c r="P185" s="18" t="s">
        <v>18</v>
      </c>
      <c r="Q185" s="5">
        <f t="shared" si="8"/>
        <v>6.0869999999999997</v>
      </c>
      <c r="R185" s="5">
        <f t="shared" si="9"/>
        <v>6.9849999999999994</v>
      </c>
      <c r="S185" s="5">
        <f t="shared" si="10"/>
        <v>3.36</v>
      </c>
      <c r="T185" s="23">
        <f>('Investor-Inputs'!$G$19 * Q185) + ('Investor-Inputs'!$J$19 * R185) + ('Investor-Inputs'!$N$19 * S185)</f>
        <v>35.590999999999994</v>
      </c>
      <c r="U185" s="27">
        <f t="shared" si="11"/>
        <v>375</v>
      </c>
    </row>
    <row r="186" spans="3:21" x14ac:dyDescent="0.25">
      <c r="C186" s="2" t="s">
        <v>220</v>
      </c>
      <c r="D186" s="2">
        <v>5</v>
      </c>
      <c r="E186" s="2" t="s">
        <v>14</v>
      </c>
      <c r="F186" s="2" t="s">
        <v>219</v>
      </c>
      <c r="G186" s="3">
        <v>6.34</v>
      </c>
      <c r="H186" s="3">
        <v>6.05</v>
      </c>
      <c r="I186" s="3">
        <v>7.28</v>
      </c>
      <c r="J186" s="3">
        <v>7.08</v>
      </c>
      <c r="K186" s="3">
        <v>6.32</v>
      </c>
      <c r="L186" s="21">
        <v>6.94</v>
      </c>
      <c r="M186" s="3">
        <v>0.34</v>
      </c>
      <c r="N186" s="2" t="s">
        <v>180</v>
      </c>
      <c r="O186" s="4" t="s">
        <v>28</v>
      </c>
      <c r="P186" s="18" t="s">
        <v>18</v>
      </c>
      <c r="Q186" s="5">
        <f t="shared" si="8"/>
        <v>6.072000000000001</v>
      </c>
      <c r="R186" s="5">
        <f t="shared" si="9"/>
        <v>7.01</v>
      </c>
      <c r="S186" s="5">
        <f t="shared" si="10"/>
        <v>3.33</v>
      </c>
      <c r="T186" s="23">
        <f>('Investor-Inputs'!$G$19 * Q186) + ('Investor-Inputs'!$J$19 * R186) + ('Investor-Inputs'!$N$19 * S186)</f>
        <v>35.566000000000003</v>
      </c>
      <c r="U186" s="27">
        <f t="shared" si="11"/>
        <v>379</v>
      </c>
    </row>
    <row r="187" spans="3:21" x14ac:dyDescent="0.25">
      <c r="C187" s="2" t="s">
        <v>221</v>
      </c>
      <c r="D187" s="2">
        <v>4</v>
      </c>
      <c r="E187" s="2" t="s">
        <v>14</v>
      </c>
      <c r="F187" s="2" t="s">
        <v>219</v>
      </c>
      <c r="G187" s="3">
        <v>6.31</v>
      </c>
      <c r="H187" s="3">
        <v>6.04</v>
      </c>
      <c r="I187" s="3">
        <v>6.91</v>
      </c>
      <c r="J187" s="3">
        <v>6.87</v>
      </c>
      <c r="K187" s="3">
        <v>5.79</v>
      </c>
      <c r="L187" s="21">
        <v>6.56</v>
      </c>
      <c r="M187" s="3">
        <v>0.35</v>
      </c>
      <c r="N187" s="2" t="s">
        <v>180</v>
      </c>
      <c r="O187" s="4" t="s">
        <v>24</v>
      </c>
      <c r="P187" s="18" t="s">
        <v>18</v>
      </c>
      <c r="Q187" s="5">
        <f t="shared" si="8"/>
        <v>5.6590000000000007</v>
      </c>
      <c r="R187" s="5">
        <f t="shared" si="9"/>
        <v>6.7149999999999999</v>
      </c>
      <c r="S187" s="5">
        <f t="shared" si="10"/>
        <v>3.07</v>
      </c>
      <c r="T187" s="23">
        <f>('Investor-Inputs'!$G$19 * Q187) + ('Investor-Inputs'!$J$19 * R187) + ('Investor-Inputs'!$N$19 * S187)</f>
        <v>33.477000000000004</v>
      </c>
      <c r="U187" s="27">
        <f t="shared" si="11"/>
        <v>468</v>
      </c>
    </row>
    <row r="188" spans="3:21" x14ac:dyDescent="0.25">
      <c r="C188" s="2" t="s">
        <v>222</v>
      </c>
      <c r="D188" s="2">
        <v>4</v>
      </c>
      <c r="E188" s="2" t="s">
        <v>14</v>
      </c>
      <c r="F188" s="2" t="s">
        <v>219</v>
      </c>
      <c r="G188" s="3">
        <v>6.27</v>
      </c>
      <c r="H188" s="3">
        <v>5.98</v>
      </c>
      <c r="I188" s="3">
        <v>7.22</v>
      </c>
      <c r="J188" s="3">
        <v>7.01</v>
      </c>
      <c r="K188" s="3">
        <v>6.27</v>
      </c>
      <c r="L188" s="21">
        <v>6.87</v>
      </c>
      <c r="M188" s="3">
        <v>0.46</v>
      </c>
      <c r="N188" s="2" t="s">
        <v>171</v>
      </c>
      <c r="O188" s="4" t="s">
        <v>24</v>
      </c>
      <c r="P188" s="18" t="s">
        <v>18</v>
      </c>
      <c r="Q188" s="5">
        <f t="shared" si="8"/>
        <v>6.0229999999999997</v>
      </c>
      <c r="R188" s="5">
        <f t="shared" si="9"/>
        <v>6.9399999999999995</v>
      </c>
      <c r="S188" s="5">
        <f t="shared" si="10"/>
        <v>3.3649999999999998</v>
      </c>
      <c r="T188" s="23">
        <f>('Investor-Inputs'!$G$19 * Q188) + ('Investor-Inputs'!$J$19 * R188) + ('Investor-Inputs'!$N$19 * S188)</f>
        <v>35.314</v>
      </c>
      <c r="U188" s="27">
        <f t="shared" si="11"/>
        <v>387</v>
      </c>
    </row>
    <row r="189" spans="3:21" x14ac:dyDescent="0.25">
      <c r="C189" s="2" t="s">
        <v>223</v>
      </c>
      <c r="D189" s="2">
        <v>4</v>
      </c>
      <c r="E189" s="2" t="s">
        <v>14</v>
      </c>
      <c r="F189" s="2" t="s">
        <v>219</v>
      </c>
      <c r="G189" s="3">
        <v>6.29</v>
      </c>
      <c r="H189" s="3">
        <v>5.96</v>
      </c>
      <c r="I189" s="3">
        <v>7.27</v>
      </c>
      <c r="J189" s="3">
        <v>7.05</v>
      </c>
      <c r="K189" s="3">
        <v>6.3</v>
      </c>
      <c r="L189" s="21">
        <v>6.91</v>
      </c>
      <c r="M189" s="3">
        <v>0.39</v>
      </c>
      <c r="N189" s="2" t="s">
        <v>180</v>
      </c>
      <c r="O189" s="4" t="s">
        <v>17</v>
      </c>
      <c r="P189" s="18" t="s">
        <v>18</v>
      </c>
      <c r="Q189" s="5">
        <f t="shared" si="8"/>
        <v>6.0579999999999998</v>
      </c>
      <c r="R189" s="5">
        <f t="shared" si="9"/>
        <v>6.98</v>
      </c>
      <c r="S189" s="5">
        <f t="shared" si="10"/>
        <v>3.3449999999999998</v>
      </c>
      <c r="T189" s="23">
        <f>('Investor-Inputs'!$G$19 * Q189) + ('Investor-Inputs'!$J$19 * R189) + ('Investor-Inputs'!$N$19 * S189)</f>
        <v>35.478999999999999</v>
      </c>
      <c r="U189" s="27">
        <f t="shared" si="11"/>
        <v>381</v>
      </c>
    </row>
    <row r="190" spans="3:21" x14ac:dyDescent="0.25">
      <c r="C190" s="2" t="s">
        <v>224</v>
      </c>
      <c r="D190" s="2">
        <v>4</v>
      </c>
      <c r="E190" s="2" t="s">
        <v>14</v>
      </c>
      <c r="F190" s="2" t="s">
        <v>219</v>
      </c>
      <c r="G190" s="3">
        <v>6.29</v>
      </c>
      <c r="H190" s="3">
        <v>6</v>
      </c>
      <c r="I190" s="3">
        <v>7.24</v>
      </c>
      <c r="J190" s="3">
        <v>7.04</v>
      </c>
      <c r="K190" s="3">
        <v>6.31</v>
      </c>
      <c r="L190" s="21">
        <v>6.91</v>
      </c>
      <c r="M190" s="3">
        <v>0.37</v>
      </c>
      <c r="N190" s="2" t="s">
        <v>171</v>
      </c>
      <c r="O190" s="4" t="s">
        <v>17</v>
      </c>
      <c r="P190" s="18" t="s">
        <v>18</v>
      </c>
      <c r="Q190" s="5">
        <f t="shared" si="8"/>
        <v>6.0510000000000002</v>
      </c>
      <c r="R190" s="5">
        <f t="shared" si="9"/>
        <v>6.9749999999999996</v>
      </c>
      <c r="S190" s="5">
        <f t="shared" si="10"/>
        <v>3.34</v>
      </c>
      <c r="T190" s="23">
        <f>('Investor-Inputs'!$G$19 * Q190) + ('Investor-Inputs'!$J$19 * R190) + ('Investor-Inputs'!$N$19 * S190)</f>
        <v>35.442999999999998</v>
      </c>
      <c r="U190" s="27">
        <f t="shared" si="11"/>
        <v>385</v>
      </c>
    </row>
    <row r="191" spans="3:21" x14ac:dyDescent="0.25">
      <c r="C191" s="2" t="s">
        <v>225</v>
      </c>
      <c r="D191" s="2">
        <v>4</v>
      </c>
      <c r="E191" s="2" t="s">
        <v>14</v>
      </c>
      <c r="F191" s="2" t="s">
        <v>219</v>
      </c>
      <c r="G191" s="3">
        <v>6.33</v>
      </c>
      <c r="H191" s="3">
        <v>6.05</v>
      </c>
      <c r="I191" s="3">
        <v>7.27</v>
      </c>
      <c r="J191" s="3">
        <v>7.07</v>
      </c>
      <c r="K191" s="3">
        <v>6.33</v>
      </c>
      <c r="L191" s="21">
        <v>6.93</v>
      </c>
      <c r="M191" s="3">
        <v>0.42</v>
      </c>
      <c r="N191" s="2" t="s">
        <v>171</v>
      </c>
      <c r="O191" s="4" t="s">
        <v>17</v>
      </c>
      <c r="P191" s="18" t="s">
        <v>18</v>
      </c>
      <c r="Q191" s="5">
        <f t="shared" si="8"/>
        <v>6.0730000000000004</v>
      </c>
      <c r="R191" s="5">
        <f t="shared" si="9"/>
        <v>7</v>
      </c>
      <c r="S191" s="5">
        <f t="shared" si="10"/>
        <v>3.375</v>
      </c>
      <c r="T191" s="23">
        <f>('Investor-Inputs'!$G$19 * Q191) + ('Investor-Inputs'!$J$19 * R191) + ('Investor-Inputs'!$N$19 * S191)</f>
        <v>35.594000000000001</v>
      </c>
      <c r="U191" s="27">
        <f t="shared" si="11"/>
        <v>373</v>
      </c>
    </row>
    <row r="192" spans="3:21" x14ac:dyDescent="0.25">
      <c r="C192" s="2" t="s">
        <v>226</v>
      </c>
      <c r="D192" s="2">
        <v>4</v>
      </c>
      <c r="E192" s="2" t="s">
        <v>14</v>
      </c>
      <c r="F192" s="2" t="s">
        <v>219</v>
      </c>
      <c r="G192" s="3">
        <v>6.34</v>
      </c>
      <c r="H192" s="3">
        <v>6.02</v>
      </c>
      <c r="I192" s="3">
        <v>7.31</v>
      </c>
      <c r="J192" s="3">
        <v>7.09</v>
      </c>
      <c r="K192" s="3">
        <v>6.37</v>
      </c>
      <c r="L192" s="21">
        <v>6.97</v>
      </c>
      <c r="M192" s="3">
        <v>0.25</v>
      </c>
      <c r="N192" s="2" t="s">
        <v>171</v>
      </c>
      <c r="O192" s="4" t="s">
        <v>28</v>
      </c>
      <c r="P192" s="18" t="s">
        <v>18</v>
      </c>
      <c r="Q192" s="5">
        <f t="shared" si="8"/>
        <v>6.109</v>
      </c>
      <c r="R192" s="5">
        <f t="shared" si="9"/>
        <v>7.0299999999999994</v>
      </c>
      <c r="S192" s="5">
        <f t="shared" si="10"/>
        <v>3.31</v>
      </c>
      <c r="T192" s="23">
        <f>('Investor-Inputs'!$G$19 * Q192) + ('Investor-Inputs'!$J$19 * R192) + ('Investor-Inputs'!$N$19 * S192)</f>
        <v>35.697000000000003</v>
      </c>
      <c r="U192" s="27">
        <f t="shared" si="11"/>
        <v>367</v>
      </c>
    </row>
    <row r="193" spans="3:21" x14ac:dyDescent="0.25">
      <c r="C193" s="2" t="s">
        <v>227</v>
      </c>
      <c r="D193" s="2">
        <v>5</v>
      </c>
      <c r="E193" s="2" t="s">
        <v>14</v>
      </c>
      <c r="F193" s="2" t="s">
        <v>228</v>
      </c>
      <c r="G193" s="3">
        <v>5.4</v>
      </c>
      <c r="H193" s="3">
        <v>5.31</v>
      </c>
      <c r="I193" s="3">
        <v>6.25</v>
      </c>
      <c r="J193" s="3">
        <v>5.95</v>
      </c>
      <c r="K193" s="3">
        <v>5.54</v>
      </c>
      <c r="L193" s="21">
        <v>5.96</v>
      </c>
      <c r="M193" s="3">
        <v>0.14000000000000001</v>
      </c>
      <c r="N193" s="2" t="s">
        <v>229</v>
      </c>
      <c r="O193" s="4" t="s">
        <v>28</v>
      </c>
      <c r="P193" s="18" t="s">
        <v>18</v>
      </c>
      <c r="Q193" s="5">
        <f t="shared" si="8"/>
        <v>5.27</v>
      </c>
      <c r="R193" s="5">
        <f t="shared" si="9"/>
        <v>5.9550000000000001</v>
      </c>
      <c r="S193" s="5">
        <f t="shared" si="10"/>
        <v>2.84</v>
      </c>
      <c r="T193" s="23">
        <f>('Investor-Inputs'!$G$19 * Q193) + ('Investor-Inputs'!$J$19 * R193) + ('Investor-Inputs'!$N$19 * S193)</f>
        <v>30.56</v>
      </c>
      <c r="U193" s="27">
        <f t="shared" si="11"/>
        <v>514</v>
      </c>
    </row>
    <row r="194" spans="3:21" x14ac:dyDescent="0.25">
      <c r="C194" s="2" t="s">
        <v>230</v>
      </c>
      <c r="D194" s="2">
        <v>5</v>
      </c>
      <c r="E194" s="2" t="s">
        <v>14</v>
      </c>
      <c r="F194" s="2" t="s">
        <v>228</v>
      </c>
      <c r="G194" s="3">
        <v>5.41</v>
      </c>
      <c r="H194" s="3">
        <v>5.31</v>
      </c>
      <c r="I194" s="2"/>
      <c r="J194" s="2"/>
      <c r="K194" s="2"/>
      <c r="L194" s="20"/>
      <c r="M194" s="3">
        <v>0.19</v>
      </c>
      <c r="N194" s="2" t="s">
        <v>229</v>
      </c>
      <c r="O194" s="4" t="s">
        <v>28</v>
      </c>
      <c r="P194" s="18" t="s">
        <v>18</v>
      </c>
      <c r="Q194" s="5">
        <f t="shared" si="8"/>
        <v>0</v>
      </c>
      <c r="R194" s="5">
        <f t="shared" si="9"/>
        <v>0</v>
      </c>
      <c r="S194" s="5">
        <f t="shared" si="10"/>
        <v>9.5000000000000001E-2</v>
      </c>
      <c r="T194" s="23">
        <f>('Investor-Inputs'!$G$19 * Q194) + ('Investor-Inputs'!$J$19 * R194) + ('Investor-Inputs'!$N$19 * S194)</f>
        <v>9.5000000000000001E-2</v>
      </c>
      <c r="U194" s="27">
        <f t="shared" si="11"/>
        <v>585</v>
      </c>
    </row>
    <row r="195" spans="3:21" x14ac:dyDescent="0.25">
      <c r="C195" s="2" t="s">
        <v>231</v>
      </c>
      <c r="D195" s="2">
        <v>5</v>
      </c>
      <c r="E195" s="2" t="s">
        <v>14</v>
      </c>
      <c r="F195" s="2" t="s">
        <v>228</v>
      </c>
      <c r="G195" s="3">
        <v>5.47</v>
      </c>
      <c r="H195" s="3">
        <v>5.37</v>
      </c>
      <c r="I195" s="3">
        <v>6.32</v>
      </c>
      <c r="J195" s="3">
        <v>6.02</v>
      </c>
      <c r="K195" s="3">
        <v>5.61</v>
      </c>
      <c r="L195" s="21">
        <v>6.03</v>
      </c>
      <c r="M195" s="3">
        <v>0.14000000000000001</v>
      </c>
      <c r="N195" s="2" t="s">
        <v>229</v>
      </c>
      <c r="O195" s="4" t="s">
        <v>28</v>
      </c>
      <c r="P195" s="18" t="s">
        <v>18</v>
      </c>
      <c r="Q195" s="5">
        <f t="shared" si="8"/>
        <v>5.3330000000000002</v>
      </c>
      <c r="R195" s="5">
        <f t="shared" si="9"/>
        <v>6.0250000000000004</v>
      </c>
      <c r="S195" s="5">
        <f t="shared" si="10"/>
        <v>2.875</v>
      </c>
      <c r="T195" s="23">
        <f>('Investor-Inputs'!$G$19 * Q195) + ('Investor-Inputs'!$J$19 * R195) + ('Investor-Inputs'!$N$19 * S195)</f>
        <v>30.923999999999999</v>
      </c>
      <c r="U195" s="27">
        <f t="shared" si="11"/>
        <v>512</v>
      </c>
    </row>
    <row r="196" spans="3:21" x14ac:dyDescent="0.25">
      <c r="C196" s="2" t="s">
        <v>232</v>
      </c>
      <c r="D196" s="2">
        <v>4</v>
      </c>
      <c r="E196" s="2" t="s">
        <v>14</v>
      </c>
      <c r="F196" s="2" t="s">
        <v>228</v>
      </c>
      <c r="G196" s="3">
        <v>5.34</v>
      </c>
      <c r="H196" s="3">
        <v>5.25</v>
      </c>
      <c r="I196" s="3">
        <v>6.18</v>
      </c>
      <c r="J196" s="3">
        <v>5.88</v>
      </c>
      <c r="K196" s="3">
        <v>5.48</v>
      </c>
      <c r="L196" s="21">
        <v>5.9</v>
      </c>
      <c r="M196" s="3">
        <v>0.15</v>
      </c>
      <c r="N196" s="2" t="s">
        <v>229</v>
      </c>
      <c r="O196" s="4" t="s">
        <v>17</v>
      </c>
      <c r="P196" s="18" t="s">
        <v>18</v>
      </c>
      <c r="Q196" s="5">
        <f t="shared" si="8"/>
        <v>5.2119999999999997</v>
      </c>
      <c r="R196" s="5">
        <f t="shared" si="9"/>
        <v>5.8900000000000006</v>
      </c>
      <c r="S196" s="5">
        <f t="shared" si="10"/>
        <v>2.8150000000000004</v>
      </c>
      <c r="T196" s="23">
        <f>('Investor-Inputs'!$G$19 * Q196) + ('Investor-Inputs'!$J$19 * R196) + ('Investor-Inputs'!$N$19 * S196)</f>
        <v>30.231000000000002</v>
      </c>
      <c r="U196" s="27">
        <f t="shared" si="11"/>
        <v>526</v>
      </c>
    </row>
    <row r="197" spans="3:21" x14ac:dyDescent="0.25">
      <c r="C197" s="2" t="s">
        <v>233</v>
      </c>
      <c r="D197" s="2">
        <v>4</v>
      </c>
      <c r="E197" s="2" t="s">
        <v>14</v>
      </c>
      <c r="F197" s="2" t="s">
        <v>228</v>
      </c>
      <c r="G197" s="3">
        <v>5.41</v>
      </c>
      <c r="H197" s="3">
        <v>5.34</v>
      </c>
      <c r="I197" s="3">
        <v>6.19</v>
      </c>
      <c r="J197" s="3">
        <v>5.92</v>
      </c>
      <c r="K197" s="3">
        <v>5.47</v>
      </c>
      <c r="L197" s="21">
        <v>5.91</v>
      </c>
      <c r="M197" s="3">
        <v>0.09</v>
      </c>
      <c r="N197" s="2" t="s">
        <v>229</v>
      </c>
      <c r="O197" s="4" t="s">
        <v>17</v>
      </c>
      <c r="P197" s="18" t="s">
        <v>18</v>
      </c>
      <c r="Q197" s="5">
        <f t="shared" si="8"/>
        <v>5.2110000000000003</v>
      </c>
      <c r="R197" s="5">
        <f t="shared" si="9"/>
        <v>5.915</v>
      </c>
      <c r="S197" s="5">
        <f t="shared" si="10"/>
        <v>2.78</v>
      </c>
      <c r="T197" s="23">
        <f>('Investor-Inputs'!$G$19 * Q197) + ('Investor-Inputs'!$J$19 * R197) + ('Investor-Inputs'!$N$19 * S197)</f>
        <v>30.243000000000002</v>
      </c>
      <c r="U197" s="27">
        <f t="shared" si="11"/>
        <v>524</v>
      </c>
    </row>
    <row r="198" spans="3:21" x14ac:dyDescent="0.25">
      <c r="C198" s="2" t="s">
        <v>234</v>
      </c>
      <c r="D198" s="2">
        <v>4</v>
      </c>
      <c r="E198" s="2" t="s">
        <v>14</v>
      </c>
      <c r="F198" s="2" t="s">
        <v>228</v>
      </c>
      <c r="G198" s="3">
        <v>5.34</v>
      </c>
      <c r="H198" s="3">
        <v>5.25</v>
      </c>
      <c r="I198" s="3">
        <v>6.18</v>
      </c>
      <c r="J198" s="3">
        <v>5.88</v>
      </c>
      <c r="K198" s="3">
        <v>5.47</v>
      </c>
      <c r="L198" s="21">
        <v>5.89</v>
      </c>
      <c r="M198" s="3">
        <v>0.18</v>
      </c>
      <c r="N198" s="2" t="s">
        <v>229</v>
      </c>
      <c r="O198" s="4" t="s">
        <v>17</v>
      </c>
      <c r="P198" s="18" t="s">
        <v>18</v>
      </c>
      <c r="Q198" s="5">
        <f t="shared" si="8"/>
        <v>5.2069999999999999</v>
      </c>
      <c r="R198" s="5">
        <f t="shared" si="9"/>
        <v>5.8849999999999998</v>
      </c>
      <c r="S198" s="5">
        <f t="shared" si="10"/>
        <v>2.8249999999999997</v>
      </c>
      <c r="T198" s="23">
        <f>('Investor-Inputs'!$G$19 * Q198) + ('Investor-Inputs'!$J$19 * R198) + ('Investor-Inputs'!$N$19 * S198)</f>
        <v>30.215999999999998</v>
      </c>
      <c r="U198" s="27">
        <f t="shared" si="11"/>
        <v>530</v>
      </c>
    </row>
    <row r="199" spans="3:21" x14ac:dyDescent="0.25">
      <c r="C199" s="2" t="s">
        <v>235</v>
      </c>
      <c r="D199" s="2">
        <v>4</v>
      </c>
      <c r="E199" s="2" t="s">
        <v>14</v>
      </c>
      <c r="F199" s="2" t="s">
        <v>228</v>
      </c>
      <c r="G199" s="3">
        <v>5.35</v>
      </c>
      <c r="H199" s="3">
        <v>5.26</v>
      </c>
      <c r="I199" s="3">
        <v>6.2</v>
      </c>
      <c r="J199" s="3">
        <v>5.9</v>
      </c>
      <c r="K199" s="3">
        <v>5.49</v>
      </c>
      <c r="L199" s="21">
        <v>5.91</v>
      </c>
      <c r="M199" s="3">
        <v>0.12</v>
      </c>
      <c r="N199" s="2" t="s">
        <v>229</v>
      </c>
      <c r="O199" s="4" t="s">
        <v>17</v>
      </c>
      <c r="P199" s="18" t="s">
        <v>18</v>
      </c>
      <c r="Q199" s="5">
        <f t="shared" si="8"/>
        <v>5.2250000000000005</v>
      </c>
      <c r="R199" s="5">
        <f t="shared" si="9"/>
        <v>5.9050000000000002</v>
      </c>
      <c r="S199" s="5">
        <f t="shared" si="10"/>
        <v>2.8050000000000002</v>
      </c>
      <c r="T199" s="23">
        <f>('Investor-Inputs'!$G$19 * Q199) + ('Investor-Inputs'!$J$19 * R199) + ('Investor-Inputs'!$N$19 * S199)</f>
        <v>30.29</v>
      </c>
      <c r="U199" s="27">
        <f t="shared" si="11"/>
        <v>520</v>
      </c>
    </row>
    <row r="200" spans="3:21" x14ac:dyDescent="0.25">
      <c r="C200" s="2" t="s">
        <v>236</v>
      </c>
      <c r="D200" s="2">
        <v>4</v>
      </c>
      <c r="E200" s="2" t="s">
        <v>14</v>
      </c>
      <c r="F200" s="2" t="s">
        <v>228</v>
      </c>
      <c r="G200" s="3">
        <v>5.34</v>
      </c>
      <c r="H200" s="3">
        <v>5.25</v>
      </c>
      <c r="I200" s="3">
        <v>6.17</v>
      </c>
      <c r="J200" s="3">
        <v>5.88</v>
      </c>
      <c r="K200" s="3">
        <v>5.46</v>
      </c>
      <c r="L200" s="21">
        <v>5.89</v>
      </c>
      <c r="M200" s="3">
        <v>0.2</v>
      </c>
      <c r="N200" s="2" t="s">
        <v>229</v>
      </c>
      <c r="O200" s="4" t="s">
        <v>17</v>
      </c>
      <c r="P200" s="18" t="s">
        <v>18</v>
      </c>
      <c r="Q200" s="5">
        <f t="shared" ref="Q200:Q263" si="12">I200*0.4+K200*0.5</f>
        <v>5.1980000000000004</v>
      </c>
      <c r="R200" s="5">
        <f t="shared" ref="R200:R263" si="13">(L200+J200)/2</f>
        <v>5.8849999999999998</v>
      </c>
      <c r="S200" s="5">
        <f t="shared" ref="S200:S263" si="14">(M200+K200)/2</f>
        <v>2.83</v>
      </c>
      <c r="T200" s="23">
        <f>('Investor-Inputs'!$G$19 * Q200) + ('Investor-Inputs'!$J$19 * R200) + ('Investor-Inputs'!$N$19 * S200)</f>
        <v>30.194000000000003</v>
      </c>
      <c r="U200" s="27">
        <f t="shared" ref="U200:U263" si="15">_xlfn.RANK.EQ(T200,$T$7:$T$592,0)</f>
        <v>532</v>
      </c>
    </row>
    <row r="201" spans="3:21" x14ac:dyDescent="0.25">
      <c r="C201" s="2" t="s">
        <v>237</v>
      </c>
      <c r="D201" s="2">
        <v>4</v>
      </c>
      <c r="E201" s="2" t="s">
        <v>14</v>
      </c>
      <c r="F201" s="2" t="s">
        <v>228</v>
      </c>
      <c r="G201" s="3">
        <v>5.34</v>
      </c>
      <c r="H201" s="3">
        <v>5.24</v>
      </c>
      <c r="I201" s="3">
        <v>6.18</v>
      </c>
      <c r="J201" s="3">
        <v>5.88</v>
      </c>
      <c r="K201" s="3">
        <v>5.49</v>
      </c>
      <c r="L201" s="21">
        <v>5.9</v>
      </c>
      <c r="M201" s="3">
        <v>0.2</v>
      </c>
      <c r="N201" s="2" t="s">
        <v>229</v>
      </c>
      <c r="O201" s="4" t="s">
        <v>17</v>
      </c>
      <c r="P201" s="18" t="s">
        <v>18</v>
      </c>
      <c r="Q201" s="5">
        <f t="shared" si="12"/>
        <v>5.2170000000000005</v>
      </c>
      <c r="R201" s="5">
        <f t="shared" si="13"/>
        <v>5.8900000000000006</v>
      </c>
      <c r="S201" s="5">
        <f t="shared" si="14"/>
        <v>2.8450000000000002</v>
      </c>
      <c r="T201" s="23">
        <f>('Investor-Inputs'!$G$19 * Q201) + ('Investor-Inputs'!$J$19 * R201) + ('Investor-Inputs'!$N$19 * S201)</f>
        <v>30.276000000000003</v>
      </c>
      <c r="U201" s="27">
        <f t="shared" si="15"/>
        <v>522</v>
      </c>
    </row>
    <row r="202" spans="3:21" x14ac:dyDescent="0.25">
      <c r="C202" s="2" t="s">
        <v>238</v>
      </c>
      <c r="D202" s="2">
        <v>4</v>
      </c>
      <c r="E202" s="2" t="s">
        <v>14</v>
      </c>
      <c r="F202" s="2" t="s">
        <v>228</v>
      </c>
      <c r="G202" s="3">
        <v>5.27</v>
      </c>
      <c r="H202" s="3">
        <v>5.16</v>
      </c>
      <c r="I202" s="3">
        <v>6.17</v>
      </c>
      <c r="J202" s="3">
        <v>5.86</v>
      </c>
      <c r="K202" s="3">
        <v>5.48</v>
      </c>
      <c r="L202" s="21">
        <v>5.88</v>
      </c>
      <c r="M202" s="3">
        <v>0.23</v>
      </c>
      <c r="N202" s="2" t="s">
        <v>229</v>
      </c>
      <c r="O202" s="4" t="s">
        <v>17</v>
      </c>
      <c r="P202" s="18" t="s">
        <v>18</v>
      </c>
      <c r="Q202" s="5">
        <f t="shared" si="12"/>
        <v>5.2080000000000002</v>
      </c>
      <c r="R202" s="5">
        <f t="shared" si="13"/>
        <v>5.87</v>
      </c>
      <c r="S202" s="5">
        <f t="shared" si="14"/>
        <v>2.8550000000000004</v>
      </c>
      <c r="T202" s="23">
        <f>('Investor-Inputs'!$G$19 * Q202) + ('Investor-Inputs'!$J$19 * R202) + ('Investor-Inputs'!$N$19 * S202)</f>
        <v>30.219000000000001</v>
      </c>
      <c r="U202" s="27">
        <f t="shared" si="15"/>
        <v>528</v>
      </c>
    </row>
    <row r="203" spans="3:21" x14ac:dyDescent="0.25">
      <c r="C203" s="2" t="s">
        <v>239</v>
      </c>
      <c r="D203" s="2">
        <v>4</v>
      </c>
      <c r="E203" s="2" t="s">
        <v>14</v>
      </c>
      <c r="F203" s="2" t="s">
        <v>228</v>
      </c>
      <c r="G203" s="3">
        <v>5.36</v>
      </c>
      <c r="H203" s="3">
        <v>5.27</v>
      </c>
      <c r="I203" s="3">
        <v>6.21</v>
      </c>
      <c r="J203" s="3">
        <v>5.91</v>
      </c>
      <c r="K203" s="3">
        <v>5.5</v>
      </c>
      <c r="L203" s="21">
        <v>5.92</v>
      </c>
      <c r="M203" s="3">
        <v>0.18</v>
      </c>
      <c r="N203" s="2" t="s">
        <v>229</v>
      </c>
      <c r="O203" s="4" t="s">
        <v>17</v>
      </c>
      <c r="P203" s="18" t="s">
        <v>18</v>
      </c>
      <c r="Q203" s="5">
        <f t="shared" si="12"/>
        <v>5.234</v>
      </c>
      <c r="R203" s="5">
        <f t="shared" si="13"/>
        <v>5.915</v>
      </c>
      <c r="S203" s="5">
        <f t="shared" si="14"/>
        <v>2.84</v>
      </c>
      <c r="T203" s="23">
        <f>('Investor-Inputs'!$G$19 * Q203) + ('Investor-Inputs'!$J$19 * R203) + ('Investor-Inputs'!$N$19 * S203)</f>
        <v>30.372</v>
      </c>
      <c r="U203" s="27">
        <f t="shared" si="15"/>
        <v>518</v>
      </c>
    </row>
    <row r="204" spans="3:21" x14ac:dyDescent="0.25">
      <c r="C204" s="2" t="s">
        <v>240</v>
      </c>
      <c r="D204" s="2">
        <v>5</v>
      </c>
      <c r="E204" s="2" t="s">
        <v>14</v>
      </c>
      <c r="F204" s="2" t="s">
        <v>241</v>
      </c>
      <c r="G204" s="3">
        <v>4.33</v>
      </c>
      <c r="H204" s="3">
        <v>3.29</v>
      </c>
      <c r="I204" s="3">
        <v>7.47</v>
      </c>
      <c r="J204" s="3">
        <v>6.92</v>
      </c>
      <c r="K204" s="3">
        <v>6.62</v>
      </c>
      <c r="L204" s="21">
        <v>6.92</v>
      </c>
      <c r="M204" s="3">
        <v>0.59</v>
      </c>
      <c r="N204" s="2" t="s">
        <v>242</v>
      </c>
      <c r="O204" s="4" t="s">
        <v>28</v>
      </c>
      <c r="P204" s="18" t="s">
        <v>18</v>
      </c>
      <c r="Q204" s="5">
        <f t="shared" si="12"/>
        <v>6.298</v>
      </c>
      <c r="R204" s="5">
        <f t="shared" si="13"/>
        <v>6.92</v>
      </c>
      <c r="S204" s="5">
        <f t="shared" si="14"/>
        <v>3.605</v>
      </c>
      <c r="T204" s="23">
        <f>('Investor-Inputs'!$G$19 * Q204) + ('Investor-Inputs'!$J$19 * R204) + ('Investor-Inputs'!$N$19 * S204)</f>
        <v>36.338999999999992</v>
      </c>
      <c r="U204" s="27">
        <f t="shared" si="15"/>
        <v>349</v>
      </c>
    </row>
    <row r="205" spans="3:21" x14ac:dyDescent="0.25">
      <c r="C205" s="2" t="s">
        <v>243</v>
      </c>
      <c r="D205" s="2">
        <v>4</v>
      </c>
      <c r="E205" s="2" t="s">
        <v>14</v>
      </c>
      <c r="F205" s="2" t="s">
        <v>241</v>
      </c>
      <c r="G205" s="3">
        <v>3.26</v>
      </c>
      <c r="H205" s="3">
        <v>3.89</v>
      </c>
      <c r="I205" s="3">
        <v>6.77</v>
      </c>
      <c r="J205" s="3">
        <v>6.42</v>
      </c>
      <c r="K205" s="3">
        <v>5.75</v>
      </c>
      <c r="L205" s="21">
        <v>6.37</v>
      </c>
      <c r="M205" s="3">
        <v>0.63</v>
      </c>
      <c r="N205" s="2" t="s">
        <v>171</v>
      </c>
      <c r="O205" s="4" t="s">
        <v>17</v>
      </c>
      <c r="P205" s="18" t="s">
        <v>18</v>
      </c>
      <c r="Q205" s="5">
        <f t="shared" si="12"/>
        <v>5.5830000000000002</v>
      </c>
      <c r="R205" s="5">
        <f t="shared" si="13"/>
        <v>6.3949999999999996</v>
      </c>
      <c r="S205" s="5">
        <f t="shared" si="14"/>
        <v>3.19</v>
      </c>
      <c r="T205" s="23">
        <f>('Investor-Inputs'!$G$19 * Q205) + ('Investor-Inputs'!$J$19 * R205) + ('Investor-Inputs'!$N$19 * S205)</f>
        <v>32.728999999999999</v>
      </c>
      <c r="U205" s="27">
        <f t="shared" si="15"/>
        <v>482</v>
      </c>
    </row>
    <row r="206" spans="3:21" x14ac:dyDescent="0.25">
      <c r="C206" s="2" t="s">
        <v>244</v>
      </c>
      <c r="D206" s="2">
        <v>4</v>
      </c>
      <c r="E206" s="2" t="s">
        <v>14</v>
      </c>
      <c r="F206" s="2" t="s">
        <v>241</v>
      </c>
      <c r="G206" s="3">
        <v>1.87</v>
      </c>
      <c r="H206" s="3">
        <v>1.51</v>
      </c>
      <c r="I206" s="3">
        <v>6.18</v>
      </c>
      <c r="J206" s="3">
        <v>5.51</v>
      </c>
      <c r="K206" s="3">
        <v>5.45</v>
      </c>
      <c r="L206" s="21">
        <v>5.8</v>
      </c>
      <c r="M206" s="3">
        <v>0.97</v>
      </c>
      <c r="N206" s="2" t="s">
        <v>171</v>
      </c>
      <c r="O206" s="4" t="s">
        <v>17</v>
      </c>
      <c r="P206" s="18" t="s">
        <v>18</v>
      </c>
      <c r="Q206" s="5">
        <f t="shared" si="12"/>
        <v>5.1970000000000001</v>
      </c>
      <c r="R206" s="5">
        <f t="shared" si="13"/>
        <v>5.6549999999999994</v>
      </c>
      <c r="S206" s="5">
        <f t="shared" si="14"/>
        <v>3.21</v>
      </c>
      <c r="T206" s="23">
        <f>('Investor-Inputs'!$G$19 * Q206) + ('Investor-Inputs'!$J$19 * R206) + ('Investor-Inputs'!$N$19 * S206)</f>
        <v>30.111000000000001</v>
      </c>
      <c r="U206" s="27">
        <f t="shared" si="15"/>
        <v>538</v>
      </c>
    </row>
    <row r="207" spans="3:21" x14ac:dyDescent="0.25">
      <c r="C207" s="2" t="s">
        <v>245</v>
      </c>
      <c r="D207" s="2">
        <v>4</v>
      </c>
      <c r="E207" s="2" t="s">
        <v>14</v>
      </c>
      <c r="F207" s="2" t="s">
        <v>241</v>
      </c>
      <c r="G207" s="3">
        <v>5.38</v>
      </c>
      <c r="H207" s="3">
        <v>4.91</v>
      </c>
      <c r="I207" s="3">
        <v>6.32</v>
      </c>
      <c r="J207" s="3">
        <v>6.35</v>
      </c>
      <c r="K207" s="3">
        <v>4.92</v>
      </c>
      <c r="L207" s="21">
        <v>5.9</v>
      </c>
      <c r="M207" s="3">
        <v>1.02</v>
      </c>
      <c r="N207" s="2" t="s">
        <v>180</v>
      </c>
      <c r="O207" s="4" t="s">
        <v>24</v>
      </c>
      <c r="P207" s="18" t="s">
        <v>18</v>
      </c>
      <c r="Q207" s="5">
        <f t="shared" si="12"/>
        <v>4.9880000000000004</v>
      </c>
      <c r="R207" s="5">
        <f t="shared" si="13"/>
        <v>6.125</v>
      </c>
      <c r="S207" s="5">
        <f t="shared" si="14"/>
        <v>2.9699999999999998</v>
      </c>
      <c r="T207" s="23">
        <f>('Investor-Inputs'!$G$19 * Q207) + ('Investor-Inputs'!$J$19 * R207) + ('Investor-Inputs'!$N$19 * S207)</f>
        <v>30.184000000000001</v>
      </c>
      <c r="U207" s="27">
        <f t="shared" si="15"/>
        <v>534</v>
      </c>
    </row>
    <row r="208" spans="3:21" x14ac:dyDescent="0.25">
      <c r="C208" s="2" t="s">
        <v>246</v>
      </c>
      <c r="D208" s="2">
        <v>5</v>
      </c>
      <c r="E208" s="2" t="s">
        <v>14</v>
      </c>
      <c r="F208" s="2" t="s">
        <v>241</v>
      </c>
      <c r="G208" s="3">
        <v>3.29</v>
      </c>
      <c r="H208" s="3">
        <v>2.44</v>
      </c>
      <c r="I208" s="3">
        <v>6.79</v>
      </c>
      <c r="J208" s="3">
        <v>6.19</v>
      </c>
      <c r="K208" s="3">
        <v>5.71</v>
      </c>
      <c r="L208" s="21">
        <v>6.33</v>
      </c>
      <c r="M208" s="3">
        <v>0.75</v>
      </c>
      <c r="N208" s="2" t="s">
        <v>171</v>
      </c>
      <c r="O208" s="4" t="s">
        <v>28</v>
      </c>
      <c r="P208" s="18" t="s">
        <v>18</v>
      </c>
      <c r="Q208" s="5">
        <f t="shared" si="12"/>
        <v>5.5709999999999997</v>
      </c>
      <c r="R208" s="5">
        <f t="shared" si="13"/>
        <v>6.26</v>
      </c>
      <c r="S208" s="5">
        <f t="shared" si="14"/>
        <v>3.23</v>
      </c>
      <c r="T208" s="23">
        <f>('Investor-Inputs'!$G$19 * Q208) + ('Investor-Inputs'!$J$19 * R208) + ('Investor-Inputs'!$N$19 * S208)</f>
        <v>32.463000000000001</v>
      </c>
      <c r="U208" s="27">
        <f t="shared" si="15"/>
        <v>490</v>
      </c>
    </row>
    <row r="209" spans="3:21" x14ac:dyDescent="0.25">
      <c r="C209" s="2" t="s">
        <v>247</v>
      </c>
      <c r="D209" s="2">
        <v>4</v>
      </c>
      <c r="E209" s="2" t="s">
        <v>14</v>
      </c>
      <c r="F209" s="2" t="s">
        <v>248</v>
      </c>
      <c r="G209" s="3">
        <v>4.74</v>
      </c>
      <c r="H209" s="3">
        <v>3.89</v>
      </c>
      <c r="I209" s="3">
        <v>6.99</v>
      </c>
      <c r="J209" s="3">
        <v>6.66</v>
      </c>
      <c r="K209" s="3">
        <v>5.98</v>
      </c>
      <c r="L209" s="21">
        <v>6.57</v>
      </c>
      <c r="M209" s="3">
        <v>0.97</v>
      </c>
      <c r="N209" s="2" t="s">
        <v>171</v>
      </c>
      <c r="O209" s="4" t="s">
        <v>17</v>
      </c>
      <c r="P209" s="18" t="s">
        <v>18</v>
      </c>
      <c r="Q209" s="5">
        <f t="shared" si="12"/>
        <v>5.7860000000000005</v>
      </c>
      <c r="R209" s="5">
        <f t="shared" si="13"/>
        <v>6.6150000000000002</v>
      </c>
      <c r="S209" s="5">
        <f t="shared" si="14"/>
        <v>3.4750000000000001</v>
      </c>
      <c r="T209" s="23">
        <f>('Investor-Inputs'!$G$19 * Q209) + ('Investor-Inputs'!$J$19 * R209) + ('Investor-Inputs'!$N$19 * S209)</f>
        <v>34.063000000000002</v>
      </c>
      <c r="U209" s="27">
        <f t="shared" si="15"/>
        <v>420</v>
      </c>
    </row>
    <row r="210" spans="3:21" x14ac:dyDescent="0.25">
      <c r="C210" s="2" t="s">
        <v>249</v>
      </c>
      <c r="D210" s="2">
        <v>4</v>
      </c>
      <c r="E210" s="2" t="s">
        <v>14</v>
      </c>
      <c r="F210" s="2" t="s">
        <v>248</v>
      </c>
      <c r="G210" s="3">
        <v>4.74</v>
      </c>
      <c r="H210" s="3">
        <v>4.1399999999999997</v>
      </c>
      <c r="I210" s="3">
        <v>6.87</v>
      </c>
      <c r="J210" s="3">
        <v>6.5</v>
      </c>
      <c r="K210" s="3">
        <v>5.67</v>
      </c>
      <c r="L210" s="21">
        <v>6.3</v>
      </c>
      <c r="M210" s="3">
        <v>0.67</v>
      </c>
      <c r="N210" s="2" t="s">
        <v>180</v>
      </c>
      <c r="O210" s="4" t="s">
        <v>24</v>
      </c>
      <c r="P210" s="18" t="s">
        <v>18</v>
      </c>
      <c r="Q210" s="5">
        <f t="shared" si="12"/>
        <v>5.5830000000000002</v>
      </c>
      <c r="R210" s="5">
        <f t="shared" si="13"/>
        <v>6.4</v>
      </c>
      <c r="S210" s="5">
        <f t="shared" si="14"/>
        <v>3.17</v>
      </c>
      <c r="T210" s="23">
        <f>('Investor-Inputs'!$G$19 * Q210) + ('Investor-Inputs'!$J$19 * R210) + ('Investor-Inputs'!$N$19 * S210)</f>
        <v>32.719000000000001</v>
      </c>
      <c r="U210" s="27">
        <f t="shared" si="15"/>
        <v>484</v>
      </c>
    </row>
    <row r="211" spans="3:21" x14ac:dyDescent="0.25">
      <c r="C211" s="2" t="s">
        <v>250</v>
      </c>
      <c r="D211" s="2">
        <v>4</v>
      </c>
      <c r="E211" s="2" t="s">
        <v>14</v>
      </c>
      <c r="F211" s="2" t="s">
        <v>248</v>
      </c>
      <c r="G211" s="3">
        <v>4.99</v>
      </c>
      <c r="H211" s="3">
        <v>4.0199999999999996</v>
      </c>
      <c r="I211" s="3">
        <v>7.17</v>
      </c>
      <c r="J211" s="3">
        <v>6.88</v>
      </c>
      <c r="K211" s="3">
        <v>5.61</v>
      </c>
      <c r="L211" s="21">
        <v>6.58</v>
      </c>
      <c r="M211" s="3">
        <v>0.59</v>
      </c>
      <c r="N211" s="2" t="s">
        <v>171</v>
      </c>
      <c r="O211" s="4" t="s">
        <v>28</v>
      </c>
      <c r="P211" s="18" t="s">
        <v>18</v>
      </c>
      <c r="Q211" s="5">
        <f t="shared" si="12"/>
        <v>5.673</v>
      </c>
      <c r="R211" s="5">
        <f t="shared" si="13"/>
        <v>6.73</v>
      </c>
      <c r="S211" s="5">
        <f t="shared" si="14"/>
        <v>3.1</v>
      </c>
      <c r="T211" s="23">
        <f>('Investor-Inputs'!$G$19 * Q211) + ('Investor-Inputs'!$J$19 * R211) + ('Investor-Inputs'!$N$19 * S211)</f>
        <v>33.579000000000001</v>
      </c>
      <c r="U211" s="27">
        <f t="shared" si="15"/>
        <v>464</v>
      </c>
    </row>
    <row r="212" spans="3:21" x14ac:dyDescent="0.25">
      <c r="C212" s="2" t="s">
        <v>251</v>
      </c>
      <c r="D212" s="2">
        <v>5</v>
      </c>
      <c r="E212" s="2" t="s">
        <v>14</v>
      </c>
      <c r="F212" s="2" t="s">
        <v>248</v>
      </c>
      <c r="G212" s="3">
        <v>5.91</v>
      </c>
      <c r="H212" s="3">
        <v>5.31</v>
      </c>
      <c r="I212" s="3">
        <v>6.95</v>
      </c>
      <c r="J212" s="3">
        <v>6.91</v>
      </c>
      <c r="K212" s="3">
        <v>5.53</v>
      </c>
      <c r="L212" s="21">
        <v>6.48</v>
      </c>
      <c r="M212" s="3">
        <v>0.56000000000000005</v>
      </c>
      <c r="N212" s="2" t="s">
        <v>180</v>
      </c>
      <c r="O212" s="4" t="s">
        <v>17</v>
      </c>
      <c r="P212" s="18" t="s">
        <v>18</v>
      </c>
      <c r="Q212" s="5">
        <f t="shared" si="12"/>
        <v>5.5449999999999999</v>
      </c>
      <c r="R212" s="5">
        <f t="shared" si="13"/>
        <v>6.6950000000000003</v>
      </c>
      <c r="S212" s="5">
        <f t="shared" si="14"/>
        <v>3.0449999999999999</v>
      </c>
      <c r="T212" s="23">
        <f>('Investor-Inputs'!$G$19 * Q212) + ('Investor-Inputs'!$J$19 * R212) + ('Investor-Inputs'!$N$19 * S212)</f>
        <v>33.07</v>
      </c>
      <c r="U212" s="27">
        <f t="shared" si="15"/>
        <v>478</v>
      </c>
    </row>
    <row r="213" spans="3:21" x14ac:dyDescent="0.25">
      <c r="C213" s="2" t="s">
        <v>252</v>
      </c>
      <c r="D213" s="2">
        <v>4</v>
      </c>
      <c r="E213" s="2" t="s">
        <v>14</v>
      </c>
      <c r="F213" s="2" t="s">
        <v>248</v>
      </c>
      <c r="G213" s="3">
        <v>5.8</v>
      </c>
      <c r="H213" s="3">
        <v>5.17</v>
      </c>
      <c r="I213" s="3">
        <v>7.38</v>
      </c>
      <c r="J213" s="3">
        <v>7.44</v>
      </c>
      <c r="K213" s="3">
        <v>6.06</v>
      </c>
      <c r="L213" s="21">
        <v>6.93</v>
      </c>
      <c r="M213" s="3">
        <v>0.75</v>
      </c>
      <c r="N213" s="2" t="s">
        <v>171</v>
      </c>
      <c r="O213" s="4" t="s">
        <v>17</v>
      </c>
      <c r="P213" s="18" t="s">
        <v>18</v>
      </c>
      <c r="Q213" s="5">
        <f t="shared" si="12"/>
        <v>5.9819999999999993</v>
      </c>
      <c r="R213" s="5">
        <f t="shared" si="13"/>
        <v>7.1850000000000005</v>
      </c>
      <c r="S213" s="5">
        <f t="shared" si="14"/>
        <v>3.4049999999999998</v>
      </c>
      <c r="T213" s="23">
        <f>('Investor-Inputs'!$G$19 * Q213) + ('Investor-Inputs'!$J$19 * R213) + ('Investor-Inputs'!$N$19 * S213)</f>
        <v>35.721000000000004</v>
      </c>
      <c r="U213" s="27">
        <f t="shared" si="15"/>
        <v>363</v>
      </c>
    </row>
    <row r="214" spans="3:21" x14ac:dyDescent="0.25">
      <c r="C214" s="2" t="s">
        <v>253</v>
      </c>
      <c r="D214" s="2">
        <v>5</v>
      </c>
      <c r="E214" s="2" t="s">
        <v>14</v>
      </c>
      <c r="F214" s="2" t="s">
        <v>248</v>
      </c>
      <c r="G214" s="3">
        <v>5.28</v>
      </c>
      <c r="H214" s="3">
        <v>4.5199999999999996</v>
      </c>
      <c r="I214" s="3">
        <v>7.29</v>
      </c>
      <c r="J214" s="3">
        <v>6.84</v>
      </c>
      <c r="K214" s="3">
        <v>6.41</v>
      </c>
      <c r="L214" s="21">
        <v>6.89</v>
      </c>
      <c r="M214" s="3">
        <v>0.56000000000000005</v>
      </c>
      <c r="N214" s="2" t="s">
        <v>171</v>
      </c>
      <c r="O214" s="4" t="s">
        <v>28</v>
      </c>
      <c r="P214" s="18" t="s">
        <v>18</v>
      </c>
      <c r="Q214" s="5">
        <f t="shared" si="12"/>
        <v>6.1210000000000004</v>
      </c>
      <c r="R214" s="5">
        <f t="shared" si="13"/>
        <v>6.8650000000000002</v>
      </c>
      <c r="S214" s="5">
        <f t="shared" si="14"/>
        <v>3.4850000000000003</v>
      </c>
      <c r="T214" s="23">
        <f>('Investor-Inputs'!$G$19 * Q214) + ('Investor-Inputs'!$J$19 * R214) + ('Investor-Inputs'!$N$19 * S214)</f>
        <v>35.578000000000003</v>
      </c>
      <c r="U214" s="27">
        <f t="shared" si="15"/>
        <v>377</v>
      </c>
    </row>
    <row r="215" spans="3:21" x14ac:dyDescent="0.25">
      <c r="C215" s="2" t="s">
        <v>254</v>
      </c>
      <c r="D215" s="2">
        <v>4</v>
      </c>
      <c r="E215" s="2" t="s">
        <v>14</v>
      </c>
      <c r="F215" s="2" t="s">
        <v>248</v>
      </c>
      <c r="G215" s="3">
        <v>4.59</v>
      </c>
      <c r="H215" s="3">
        <v>3.63</v>
      </c>
      <c r="I215" s="3">
        <v>7.03</v>
      </c>
      <c r="J215" s="3">
        <v>6.57</v>
      </c>
      <c r="K215" s="3">
        <v>6.05</v>
      </c>
      <c r="L215" s="21">
        <v>6.55</v>
      </c>
      <c r="M215" s="3">
        <v>0.7</v>
      </c>
      <c r="N215" s="2" t="s">
        <v>171</v>
      </c>
      <c r="O215" s="4" t="s">
        <v>17</v>
      </c>
      <c r="P215" s="18" t="s">
        <v>18</v>
      </c>
      <c r="Q215" s="5">
        <f t="shared" si="12"/>
        <v>5.8369999999999997</v>
      </c>
      <c r="R215" s="5">
        <f t="shared" si="13"/>
        <v>6.5600000000000005</v>
      </c>
      <c r="S215" s="5">
        <f t="shared" si="14"/>
        <v>3.375</v>
      </c>
      <c r="T215" s="23">
        <f>('Investor-Inputs'!$G$19 * Q215) + ('Investor-Inputs'!$J$19 * R215) + ('Investor-Inputs'!$N$19 * S215)</f>
        <v>34.006</v>
      </c>
      <c r="U215" s="27">
        <f t="shared" si="15"/>
        <v>424</v>
      </c>
    </row>
    <row r="216" spans="3:21" x14ac:dyDescent="0.25">
      <c r="C216" s="2" t="s">
        <v>255</v>
      </c>
      <c r="D216" s="2">
        <v>4</v>
      </c>
      <c r="E216" s="2" t="s">
        <v>14</v>
      </c>
      <c r="F216" s="2" t="s">
        <v>248</v>
      </c>
      <c r="G216" s="3">
        <v>4.4000000000000004</v>
      </c>
      <c r="H216" s="3">
        <v>3.52</v>
      </c>
      <c r="I216" s="3">
        <v>7.09</v>
      </c>
      <c r="J216" s="3">
        <v>6.6</v>
      </c>
      <c r="K216" s="3">
        <v>6.34</v>
      </c>
      <c r="L216" s="21">
        <v>6.71</v>
      </c>
      <c r="M216" s="3">
        <v>0.78</v>
      </c>
      <c r="N216" s="2" t="s">
        <v>171</v>
      </c>
      <c r="O216" s="4" t="s">
        <v>17</v>
      </c>
      <c r="P216" s="18" t="s">
        <v>18</v>
      </c>
      <c r="Q216" s="5">
        <f t="shared" si="12"/>
        <v>6.0060000000000002</v>
      </c>
      <c r="R216" s="5">
        <f t="shared" si="13"/>
        <v>6.6549999999999994</v>
      </c>
      <c r="S216" s="5">
        <f t="shared" si="14"/>
        <v>3.56</v>
      </c>
      <c r="T216" s="23">
        <f>('Investor-Inputs'!$G$19 * Q216) + ('Investor-Inputs'!$J$19 * R216) + ('Investor-Inputs'!$N$19 * S216)</f>
        <v>34.887999999999998</v>
      </c>
      <c r="U216" s="27">
        <f t="shared" si="15"/>
        <v>397</v>
      </c>
    </row>
    <row r="217" spans="3:21" x14ac:dyDescent="0.25">
      <c r="C217" s="2" t="s">
        <v>256</v>
      </c>
      <c r="D217" s="2">
        <v>4</v>
      </c>
      <c r="E217" s="2" t="s">
        <v>14</v>
      </c>
      <c r="F217" s="2" t="s">
        <v>257</v>
      </c>
      <c r="G217" s="3">
        <v>6.34</v>
      </c>
      <c r="H217" s="3">
        <v>5.65</v>
      </c>
      <c r="I217" s="3">
        <v>7.54</v>
      </c>
      <c r="J217" s="3">
        <v>7.32</v>
      </c>
      <c r="K217" s="3">
        <v>8.32</v>
      </c>
      <c r="L217" s="21">
        <v>7.46</v>
      </c>
      <c r="M217" s="3">
        <v>1.6</v>
      </c>
      <c r="N217" s="2" t="s">
        <v>242</v>
      </c>
      <c r="O217" s="4" t="s">
        <v>17</v>
      </c>
      <c r="P217" s="18" t="s">
        <v>18</v>
      </c>
      <c r="Q217" s="5">
        <f t="shared" si="12"/>
        <v>7.1760000000000002</v>
      </c>
      <c r="R217" s="5">
        <f t="shared" si="13"/>
        <v>7.3900000000000006</v>
      </c>
      <c r="S217" s="5">
        <f t="shared" si="14"/>
        <v>4.96</v>
      </c>
      <c r="T217" s="23">
        <f>('Investor-Inputs'!$G$19 * Q217) + ('Investor-Inputs'!$J$19 * R217) + ('Investor-Inputs'!$N$19 * S217)</f>
        <v>41.268000000000001</v>
      </c>
      <c r="U217" s="27">
        <f t="shared" si="15"/>
        <v>311</v>
      </c>
    </row>
    <row r="218" spans="3:21" x14ac:dyDescent="0.25">
      <c r="C218" s="2" t="s">
        <v>258</v>
      </c>
      <c r="D218" s="2">
        <v>4</v>
      </c>
      <c r="E218" s="2" t="s">
        <v>14</v>
      </c>
      <c r="F218" s="2" t="s">
        <v>257</v>
      </c>
      <c r="G218" s="3">
        <v>7.61</v>
      </c>
      <c r="H218" s="3">
        <v>6.71</v>
      </c>
      <c r="I218" s="3">
        <v>8.0399999999999991</v>
      </c>
      <c r="J218" s="3">
        <v>8.1</v>
      </c>
      <c r="K218" s="3">
        <v>7.26</v>
      </c>
      <c r="L218" s="21">
        <v>7.73</v>
      </c>
      <c r="M218" s="3">
        <v>1.37</v>
      </c>
      <c r="N218" s="2" t="s">
        <v>28</v>
      </c>
      <c r="O218" s="4" t="s">
        <v>17</v>
      </c>
      <c r="P218" s="18" t="s">
        <v>18</v>
      </c>
      <c r="Q218" s="5">
        <f t="shared" si="12"/>
        <v>6.8460000000000001</v>
      </c>
      <c r="R218" s="5">
        <f t="shared" si="13"/>
        <v>7.915</v>
      </c>
      <c r="S218" s="5">
        <f t="shared" si="14"/>
        <v>4.3149999999999995</v>
      </c>
      <c r="T218" s="23">
        <f>('Investor-Inputs'!$G$19 * Q218) + ('Investor-Inputs'!$J$19 * R218) + ('Investor-Inputs'!$N$19 * S218)</f>
        <v>40.683</v>
      </c>
      <c r="U218" s="27">
        <f t="shared" si="15"/>
        <v>319</v>
      </c>
    </row>
    <row r="219" spans="3:21" x14ac:dyDescent="0.25">
      <c r="C219" s="2" t="s">
        <v>259</v>
      </c>
      <c r="D219" s="2">
        <v>5</v>
      </c>
      <c r="E219" s="2" t="s">
        <v>14</v>
      </c>
      <c r="F219" s="2" t="s">
        <v>257</v>
      </c>
      <c r="G219" s="3">
        <v>5.98</v>
      </c>
      <c r="H219" s="3">
        <v>6.71</v>
      </c>
      <c r="I219" s="3">
        <v>8.1300000000000008</v>
      </c>
      <c r="J219" s="3">
        <v>8.1199999999999992</v>
      </c>
      <c r="K219" s="3">
        <v>6.93</v>
      </c>
      <c r="L219" s="21">
        <v>7.99</v>
      </c>
      <c r="M219" s="3">
        <v>1.46</v>
      </c>
      <c r="N219" s="2" t="s">
        <v>171</v>
      </c>
      <c r="O219" s="4" t="s">
        <v>28</v>
      </c>
      <c r="P219" s="18" t="s">
        <v>18</v>
      </c>
      <c r="Q219" s="5">
        <f t="shared" si="12"/>
        <v>6.7170000000000005</v>
      </c>
      <c r="R219" s="5">
        <f t="shared" si="13"/>
        <v>8.0549999999999997</v>
      </c>
      <c r="S219" s="5">
        <f t="shared" si="14"/>
        <v>4.1950000000000003</v>
      </c>
      <c r="T219" s="23">
        <f>('Investor-Inputs'!$G$19 * Q219) + ('Investor-Inputs'!$J$19 * R219) + ('Investor-Inputs'!$N$19 * S219)</f>
        <v>40.456000000000003</v>
      </c>
      <c r="U219" s="27">
        <f t="shared" si="15"/>
        <v>323</v>
      </c>
    </row>
    <row r="220" spans="3:21" x14ac:dyDescent="0.25">
      <c r="C220" s="2" t="s">
        <v>260</v>
      </c>
      <c r="D220" s="2">
        <v>4</v>
      </c>
      <c r="E220" s="2" t="s">
        <v>14</v>
      </c>
      <c r="F220" s="2" t="s">
        <v>257</v>
      </c>
      <c r="G220" s="3">
        <v>7.15</v>
      </c>
      <c r="H220" s="3">
        <v>6.42</v>
      </c>
      <c r="I220" s="3">
        <v>8.02</v>
      </c>
      <c r="J220" s="3">
        <v>7.94</v>
      </c>
      <c r="K220" s="3">
        <v>8.33</v>
      </c>
      <c r="L220" s="21">
        <v>7.76</v>
      </c>
      <c r="M220" s="3">
        <v>1.51</v>
      </c>
      <c r="N220" s="2" t="s">
        <v>28</v>
      </c>
      <c r="O220" s="4" t="s">
        <v>17</v>
      </c>
      <c r="P220" s="18" t="s">
        <v>18</v>
      </c>
      <c r="Q220" s="5">
        <f t="shared" si="12"/>
        <v>7.3730000000000002</v>
      </c>
      <c r="R220" s="5">
        <f t="shared" si="13"/>
        <v>7.85</v>
      </c>
      <c r="S220" s="5">
        <f t="shared" si="14"/>
        <v>4.92</v>
      </c>
      <c r="T220" s="23">
        <f>('Investor-Inputs'!$G$19 * Q220) + ('Investor-Inputs'!$J$19 * R220) + ('Investor-Inputs'!$N$19 * S220)</f>
        <v>42.739000000000004</v>
      </c>
      <c r="U220" s="27">
        <f t="shared" si="15"/>
        <v>299</v>
      </c>
    </row>
    <row r="221" spans="3:21" x14ac:dyDescent="0.25">
      <c r="C221" s="2" t="s">
        <v>261</v>
      </c>
      <c r="D221" s="2">
        <v>4</v>
      </c>
      <c r="E221" s="2" t="s">
        <v>14</v>
      </c>
      <c r="F221" s="2" t="s">
        <v>262</v>
      </c>
      <c r="G221" s="3">
        <v>4.6900000000000004</v>
      </c>
      <c r="H221" s="3">
        <v>3.9</v>
      </c>
      <c r="I221" s="3">
        <v>6.64</v>
      </c>
      <c r="J221" s="3">
        <v>6.36</v>
      </c>
      <c r="K221" s="3">
        <v>5.72</v>
      </c>
      <c r="L221" s="21">
        <v>6.27</v>
      </c>
      <c r="M221" s="3">
        <v>0.65</v>
      </c>
      <c r="N221" s="2" t="s">
        <v>171</v>
      </c>
      <c r="O221" s="4" t="s">
        <v>24</v>
      </c>
      <c r="P221" s="18" t="s">
        <v>18</v>
      </c>
      <c r="Q221" s="5">
        <f t="shared" si="12"/>
        <v>5.516</v>
      </c>
      <c r="R221" s="5">
        <f t="shared" si="13"/>
        <v>6.3149999999999995</v>
      </c>
      <c r="S221" s="5">
        <f t="shared" si="14"/>
        <v>3.1850000000000001</v>
      </c>
      <c r="T221" s="23">
        <f>('Investor-Inputs'!$G$19 * Q221) + ('Investor-Inputs'!$J$19 * R221) + ('Investor-Inputs'!$N$19 * S221)</f>
        <v>32.363</v>
      </c>
      <c r="U221" s="27">
        <f t="shared" si="15"/>
        <v>492</v>
      </c>
    </row>
    <row r="222" spans="3:21" x14ac:dyDescent="0.25">
      <c r="C222" s="2" t="s">
        <v>263</v>
      </c>
      <c r="D222" s="2">
        <v>4</v>
      </c>
      <c r="E222" s="2" t="s">
        <v>14</v>
      </c>
      <c r="F222" s="2" t="s">
        <v>262</v>
      </c>
      <c r="G222" s="3">
        <v>4.6900000000000004</v>
      </c>
      <c r="H222" s="3">
        <v>4.0999999999999996</v>
      </c>
      <c r="I222" s="3">
        <v>6.59</v>
      </c>
      <c r="J222" s="3">
        <v>6.3</v>
      </c>
      <c r="K222" s="3">
        <v>5.7</v>
      </c>
      <c r="L222" s="21">
        <v>6.25</v>
      </c>
      <c r="M222" s="3">
        <v>0.65</v>
      </c>
      <c r="N222" s="2" t="s">
        <v>180</v>
      </c>
      <c r="O222" s="4" t="s">
        <v>17</v>
      </c>
      <c r="P222" s="18" t="s">
        <v>18</v>
      </c>
      <c r="Q222" s="5">
        <f t="shared" si="12"/>
        <v>5.4860000000000007</v>
      </c>
      <c r="R222" s="5">
        <f t="shared" si="13"/>
        <v>6.2750000000000004</v>
      </c>
      <c r="S222" s="5">
        <f t="shared" si="14"/>
        <v>3.1750000000000003</v>
      </c>
      <c r="T222" s="23">
        <f>('Investor-Inputs'!$G$19 * Q222) + ('Investor-Inputs'!$J$19 * R222) + ('Investor-Inputs'!$N$19 * S222)</f>
        <v>32.183</v>
      </c>
      <c r="U222" s="27">
        <f t="shared" si="15"/>
        <v>498</v>
      </c>
    </row>
    <row r="223" spans="3:21" x14ac:dyDescent="0.25">
      <c r="C223" s="2" t="s">
        <v>264</v>
      </c>
      <c r="D223" s="2">
        <v>5</v>
      </c>
      <c r="E223" s="2" t="s">
        <v>14</v>
      </c>
      <c r="F223" s="2" t="s">
        <v>262</v>
      </c>
      <c r="G223" s="3">
        <v>5.98</v>
      </c>
      <c r="H223" s="3">
        <v>5.44</v>
      </c>
      <c r="I223" s="3">
        <v>7.1</v>
      </c>
      <c r="J223" s="3">
        <v>7.01</v>
      </c>
      <c r="K223" s="3">
        <v>5.95</v>
      </c>
      <c r="L223" s="21">
        <v>6.7</v>
      </c>
      <c r="M223" s="3">
        <v>0.5</v>
      </c>
      <c r="N223" s="2" t="s">
        <v>171</v>
      </c>
      <c r="O223" s="4" t="s">
        <v>28</v>
      </c>
      <c r="P223" s="18" t="s">
        <v>18</v>
      </c>
      <c r="Q223" s="5">
        <f t="shared" si="12"/>
        <v>5.8149999999999995</v>
      </c>
      <c r="R223" s="5">
        <f t="shared" si="13"/>
        <v>6.8550000000000004</v>
      </c>
      <c r="S223" s="5">
        <f t="shared" si="14"/>
        <v>3.2250000000000001</v>
      </c>
      <c r="T223" s="23">
        <f>('Investor-Inputs'!$G$19 * Q223) + ('Investor-Inputs'!$J$19 * R223) + ('Investor-Inputs'!$N$19 * S223)</f>
        <v>34.380000000000003</v>
      </c>
      <c r="U223" s="27">
        <f t="shared" si="15"/>
        <v>412</v>
      </c>
    </row>
    <row r="224" spans="3:21" x14ac:dyDescent="0.25">
      <c r="C224" s="2" t="s">
        <v>265</v>
      </c>
      <c r="D224" s="2">
        <v>5</v>
      </c>
      <c r="E224" s="2" t="s">
        <v>14</v>
      </c>
      <c r="F224" s="2" t="s">
        <v>262</v>
      </c>
      <c r="G224" s="3">
        <v>4.8</v>
      </c>
      <c r="H224" s="3">
        <v>4.01</v>
      </c>
      <c r="I224" s="3">
        <v>6.99</v>
      </c>
      <c r="J224" s="3">
        <v>6.48</v>
      </c>
      <c r="K224" s="3">
        <v>6.23</v>
      </c>
      <c r="L224" s="21">
        <v>6.59</v>
      </c>
      <c r="M224" s="3">
        <v>0.74</v>
      </c>
      <c r="N224" s="2" t="s">
        <v>171</v>
      </c>
      <c r="O224" s="4" t="s">
        <v>17</v>
      </c>
      <c r="P224" s="18" t="s">
        <v>18</v>
      </c>
      <c r="Q224" s="5">
        <f t="shared" si="12"/>
        <v>5.9110000000000005</v>
      </c>
      <c r="R224" s="5">
        <f t="shared" si="13"/>
        <v>6.5350000000000001</v>
      </c>
      <c r="S224" s="5">
        <f t="shared" si="14"/>
        <v>3.4850000000000003</v>
      </c>
      <c r="T224" s="23">
        <f>('Investor-Inputs'!$G$19 * Q224) + ('Investor-Inputs'!$J$19 * R224) + ('Investor-Inputs'!$N$19 * S224)</f>
        <v>34.288000000000004</v>
      </c>
      <c r="U224" s="27">
        <f t="shared" si="15"/>
        <v>414</v>
      </c>
    </row>
    <row r="225" spans="3:21" x14ac:dyDescent="0.25">
      <c r="C225" s="2" t="s">
        <v>266</v>
      </c>
      <c r="D225" s="2">
        <v>4</v>
      </c>
      <c r="E225" s="2" t="s">
        <v>14</v>
      </c>
      <c r="F225" s="2" t="s">
        <v>262</v>
      </c>
      <c r="G225" s="3">
        <v>4.5599999999999996</v>
      </c>
      <c r="H225" s="3">
        <v>3.8</v>
      </c>
      <c r="I225" s="3">
        <v>6.86</v>
      </c>
      <c r="J225" s="3">
        <v>6.47</v>
      </c>
      <c r="K225" s="3">
        <v>5.61</v>
      </c>
      <c r="L225" s="21">
        <v>6.35</v>
      </c>
      <c r="M225" s="3">
        <v>0.42</v>
      </c>
      <c r="N225" s="2" t="s">
        <v>171</v>
      </c>
      <c r="O225" s="4" t="s">
        <v>17</v>
      </c>
      <c r="P225" s="18" t="s">
        <v>18</v>
      </c>
      <c r="Q225" s="5">
        <f t="shared" si="12"/>
        <v>5.5490000000000004</v>
      </c>
      <c r="R225" s="5">
        <f t="shared" si="13"/>
        <v>6.41</v>
      </c>
      <c r="S225" s="5">
        <f t="shared" si="14"/>
        <v>3.0150000000000001</v>
      </c>
      <c r="T225" s="23">
        <f>('Investor-Inputs'!$G$19 * Q225) + ('Investor-Inputs'!$J$19 * R225) + ('Investor-Inputs'!$N$19 * S225)</f>
        <v>32.481999999999999</v>
      </c>
      <c r="U225" s="27">
        <f t="shared" si="15"/>
        <v>488</v>
      </c>
    </row>
    <row r="226" spans="3:21" x14ac:dyDescent="0.25">
      <c r="C226" s="2" t="s">
        <v>267</v>
      </c>
      <c r="D226" s="2">
        <v>5</v>
      </c>
      <c r="E226" s="2" t="s">
        <v>14</v>
      </c>
      <c r="F226" s="2" t="s">
        <v>262</v>
      </c>
      <c r="G226" s="3">
        <v>5.81</v>
      </c>
      <c r="H226" s="3">
        <v>5.17</v>
      </c>
      <c r="I226" s="3">
        <v>6.93</v>
      </c>
      <c r="J226" s="3">
        <v>6.9</v>
      </c>
      <c r="K226" s="3">
        <v>7.19</v>
      </c>
      <c r="L226" s="21">
        <v>7.24</v>
      </c>
      <c r="M226" s="3">
        <v>0.46</v>
      </c>
      <c r="N226" s="2" t="s">
        <v>180</v>
      </c>
      <c r="O226" s="4" t="s">
        <v>28</v>
      </c>
      <c r="P226" s="18" t="s">
        <v>18</v>
      </c>
      <c r="Q226" s="5">
        <f t="shared" si="12"/>
        <v>6.3670000000000009</v>
      </c>
      <c r="R226" s="5">
        <f t="shared" si="13"/>
        <v>7.07</v>
      </c>
      <c r="S226" s="5">
        <f t="shared" si="14"/>
        <v>3.8250000000000002</v>
      </c>
      <c r="T226" s="23">
        <f>('Investor-Inputs'!$G$19 * Q226) + ('Investor-Inputs'!$J$19 * R226) + ('Investor-Inputs'!$N$19 * S226)</f>
        <v>37.066000000000003</v>
      </c>
      <c r="U226" s="27">
        <f t="shared" si="15"/>
        <v>341</v>
      </c>
    </row>
    <row r="227" spans="3:21" x14ac:dyDescent="0.25">
      <c r="C227" s="2" t="s">
        <v>268</v>
      </c>
      <c r="D227" s="2">
        <v>5</v>
      </c>
      <c r="E227" s="2" t="s">
        <v>14</v>
      </c>
      <c r="F227" s="2" t="s">
        <v>269</v>
      </c>
      <c r="G227" s="3">
        <v>6.15</v>
      </c>
      <c r="H227" s="3">
        <v>5.6</v>
      </c>
      <c r="I227" s="3">
        <v>7.34</v>
      </c>
      <c r="J227" s="3">
        <v>7.07</v>
      </c>
      <c r="K227" s="3">
        <v>6.41</v>
      </c>
      <c r="L227" s="21">
        <v>6.97</v>
      </c>
      <c r="M227" s="3">
        <v>0.43</v>
      </c>
      <c r="N227" s="2" t="s">
        <v>180</v>
      </c>
      <c r="O227" s="4" t="s">
        <v>24</v>
      </c>
      <c r="P227" s="18" t="s">
        <v>18</v>
      </c>
      <c r="Q227" s="5">
        <f t="shared" si="12"/>
        <v>6.141</v>
      </c>
      <c r="R227" s="5">
        <f t="shared" si="13"/>
        <v>7.02</v>
      </c>
      <c r="S227" s="5">
        <f t="shared" si="14"/>
        <v>3.42</v>
      </c>
      <c r="T227" s="23">
        <f>('Investor-Inputs'!$G$19 * Q227) + ('Investor-Inputs'!$J$19 * R227) + ('Investor-Inputs'!$N$19 * S227)</f>
        <v>35.883000000000003</v>
      </c>
      <c r="U227" s="27">
        <f t="shared" si="15"/>
        <v>353</v>
      </c>
    </row>
    <row r="228" spans="3:21" x14ac:dyDescent="0.25">
      <c r="C228" s="2" t="s">
        <v>270</v>
      </c>
      <c r="D228" s="2">
        <v>4</v>
      </c>
      <c r="E228" s="2" t="s">
        <v>14</v>
      </c>
      <c r="F228" s="2" t="s">
        <v>269</v>
      </c>
      <c r="G228" s="3">
        <v>5.98</v>
      </c>
      <c r="H228" s="3">
        <v>5.27</v>
      </c>
      <c r="I228" s="3">
        <v>7.57</v>
      </c>
      <c r="J228" s="3">
        <v>7.16</v>
      </c>
      <c r="K228" s="3">
        <v>6.57</v>
      </c>
      <c r="L228" s="21">
        <v>7.09</v>
      </c>
      <c r="M228" s="3">
        <v>0.54</v>
      </c>
      <c r="N228" s="2" t="s">
        <v>171</v>
      </c>
      <c r="O228" s="4" t="s">
        <v>24</v>
      </c>
      <c r="P228" s="18" t="s">
        <v>18</v>
      </c>
      <c r="Q228" s="5">
        <f t="shared" si="12"/>
        <v>6.3130000000000006</v>
      </c>
      <c r="R228" s="5">
        <f t="shared" si="13"/>
        <v>7.125</v>
      </c>
      <c r="S228" s="5">
        <f t="shared" si="14"/>
        <v>3.5550000000000002</v>
      </c>
      <c r="T228" s="23">
        <f>('Investor-Inputs'!$G$19 * Q228) + ('Investor-Inputs'!$J$19 * R228) + ('Investor-Inputs'!$N$19 * S228)</f>
        <v>36.744</v>
      </c>
      <c r="U228" s="27">
        <f t="shared" si="15"/>
        <v>345</v>
      </c>
    </row>
    <row r="229" spans="3:21" x14ac:dyDescent="0.25">
      <c r="C229" s="2" t="s">
        <v>271</v>
      </c>
      <c r="D229" s="2">
        <v>4</v>
      </c>
      <c r="E229" s="2" t="s">
        <v>14</v>
      </c>
      <c r="F229" s="2" t="s">
        <v>269</v>
      </c>
      <c r="G229" s="3">
        <v>5.96</v>
      </c>
      <c r="H229" s="3">
        <v>4.96</v>
      </c>
      <c r="I229" s="3">
        <v>7.46</v>
      </c>
      <c r="J229" s="3">
        <v>7.15</v>
      </c>
      <c r="K229" s="3">
        <v>6.37</v>
      </c>
      <c r="L229" s="21">
        <v>6.92</v>
      </c>
      <c r="M229" s="3">
        <v>0.63</v>
      </c>
      <c r="N229" s="2" t="s">
        <v>171</v>
      </c>
      <c r="O229" s="4" t="s">
        <v>24</v>
      </c>
      <c r="P229" s="18" t="s">
        <v>18</v>
      </c>
      <c r="Q229" s="5">
        <f t="shared" si="12"/>
        <v>6.1690000000000005</v>
      </c>
      <c r="R229" s="5">
        <f t="shared" si="13"/>
        <v>7.0350000000000001</v>
      </c>
      <c r="S229" s="5">
        <f t="shared" si="14"/>
        <v>3.5</v>
      </c>
      <c r="T229" s="23">
        <f>('Investor-Inputs'!$G$19 * Q229) + ('Investor-Inputs'!$J$19 * R229) + ('Investor-Inputs'!$N$19 * S229)</f>
        <v>36.076999999999998</v>
      </c>
      <c r="U229" s="27">
        <f t="shared" si="15"/>
        <v>351</v>
      </c>
    </row>
    <row r="230" spans="3:21" x14ac:dyDescent="0.25">
      <c r="C230" s="2" t="s">
        <v>272</v>
      </c>
      <c r="D230" s="2">
        <v>4</v>
      </c>
      <c r="E230" s="2" t="s">
        <v>14</v>
      </c>
      <c r="F230" s="2" t="s">
        <v>273</v>
      </c>
      <c r="G230" s="3">
        <v>0.25</v>
      </c>
      <c r="H230" s="3">
        <v>1.48</v>
      </c>
      <c r="I230" s="3">
        <v>6.51</v>
      </c>
      <c r="J230" s="3">
        <v>5.38</v>
      </c>
      <c r="K230" s="3">
        <v>5.38</v>
      </c>
      <c r="L230" s="21">
        <v>5.8</v>
      </c>
      <c r="M230" s="3">
        <v>0.86</v>
      </c>
      <c r="N230" s="2" t="s">
        <v>171</v>
      </c>
      <c r="O230" s="4" t="s">
        <v>17</v>
      </c>
      <c r="P230" s="18" t="s">
        <v>18</v>
      </c>
      <c r="Q230" s="5">
        <f t="shared" si="12"/>
        <v>5.2940000000000005</v>
      </c>
      <c r="R230" s="5">
        <f t="shared" si="13"/>
        <v>5.59</v>
      </c>
      <c r="S230" s="5">
        <f t="shared" si="14"/>
        <v>3.12</v>
      </c>
      <c r="T230" s="23">
        <f>('Investor-Inputs'!$G$19 * Q230) + ('Investor-Inputs'!$J$19 * R230) + ('Investor-Inputs'!$N$19 * S230)</f>
        <v>30.182000000000002</v>
      </c>
      <c r="U230" s="27">
        <f t="shared" si="15"/>
        <v>536</v>
      </c>
    </row>
    <row r="231" spans="3:21" x14ac:dyDescent="0.25">
      <c r="C231" s="2" t="s">
        <v>274</v>
      </c>
      <c r="D231" s="2">
        <v>5</v>
      </c>
      <c r="E231" s="2" t="s">
        <v>14</v>
      </c>
      <c r="F231" s="2" t="s">
        <v>273</v>
      </c>
      <c r="G231" s="3">
        <v>-0.12</v>
      </c>
      <c r="H231" s="3">
        <v>-0.21</v>
      </c>
      <c r="I231" s="3">
        <v>6.04</v>
      </c>
      <c r="J231" s="3">
        <v>4.78</v>
      </c>
      <c r="K231" s="3">
        <v>5.12</v>
      </c>
      <c r="L231" s="21">
        <v>5.45</v>
      </c>
      <c r="M231" s="3">
        <v>0.46</v>
      </c>
      <c r="N231" s="2" t="s">
        <v>171</v>
      </c>
      <c r="O231" s="4" t="s">
        <v>17</v>
      </c>
      <c r="P231" s="18" t="s">
        <v>18</v>
      </c>
      <c r="Q231" s="5">
        <f t="shared" si="12"/>
        <v>4.9760000000000009</v>
      </c>
      <c r="R231" s="5">
        <f t="shared" si="13"/>
        <v>5.1150000000000002</v>
      </c>
      <c r="S231" s="5">
        <f t="shared" si="14"/>
        <v>2.79</v>
      </c>
      <c r="T231" s="23">
        <f>('Investor-Inputs'!$G$19 * Q231) + ('Investor-Inputs'!$J$19 * R231) + ('Investor-Inputs'!$N$19 * S231)</f>
        <v>27.948</v>
      </c>
      <c r="U231" s="27">
        <f t="shared" si="15"/>
        <v>558</v>
      </c>
    </row>
    <row r="232" spans="3:21" x14ac:dyDescent="0.25">
      <c r="C232" s="2" t="s">
        <v>275</v>
      </c>
      <c r="D232" s="2">
        <v>4</v>
      </c>
      <c r="E232" s="2" t="s">
        <v>14</v>
      </c>
      <c r="F232" s="2" t="s">
        <v>273</v>
      </c>
      <c r="G232" s="3">
        <v>1.95</v>
      </c>
      <c r="H232" s="3">
        <v>3.53</v>
      </c>
      <c r="I232" s="3">
        <v>5.67</v>
      </c>
      <c r="J232" s="3">
        <v>5.37</v>
      </c>
      <c r="K232" s="3">
        <v>4.8099999999999996</v>
      </c>
      <c r="L232" s="21">
        <v>5.31</v>
      </c>
      <c r="M232" s="3">
        <v>1.1499999999999999</v>
      </c>
      <c r="N232" s="2" t="s">
        <v>171</v>
      </c>
      <c r="O232" s="4" t="s">
        <v>24</v>
      </c>
      <c r="P232" s="18" t="s">
        <v>18</v>
      </c>
      <c r="Q232" s="5">
        <f t="shared" si="12"/>
        <v>4.673</v>
      </c>
      <c r="R232" s="5">
        <f t="shared" si="13"/>
        <v>5.34</v>
      </c>
      <c r="S232" s="5">
        <f t="shared" si="14"/>
        <v>2.9799999999999995</v>
      </c>
      <c r="T232" s="23">
        <f>('Investor-Inputs'!$G$19 * Q232) + ('Investor-Inputs'!$J$19 * R232) + ('Investor-Inputs'!$N$19 * S232)</f>
        <v>27.678999999999998</v>
      </c>
      <c r="U232" s="27">
        <f t="shared" si="15"/>
        <v>560</v>
      </c>
    </row>
    <row r="233" spans="3:21" x14ac:dyDescent="0.25">
      <c r="C233" s="2" t="s">
        <v>276</v>
      </c>
      <c r="D233" s="2">
        <v>4</v>
      </c>
      <c r="E233" s="2" t="s">
        <v>14</v>
      </c>
      <c r="F233" s="2" t="s">
        <v>273</v>
      </c>
      <c r="G233" s="3">
        <v>-0.21</v>
      </c>
      <c r="H233" s="3">
        <v>0.31</v>
      </c>
      <c r="I233" s="3">
        <v>5.83</v>
      </c>
      <c r="J233" s="3">
        <v>4.63</v>
      </c>
      <c r="K233" s="3">
        <v>4.9800000000000004</v>
      </c>
      <c r="L233" s="21">
        <v>5.23</v>
      </c>
      <c r="M233" s="3">
        <v>0.93</v>
      </c>
      <c r="N233" s="2" t="s">
        <v>171</v>
      </c>
      <c r="O233" s="4" t="s">
        <v>17</v>
      </c>
      <c r="P233" s="18" t="s">
        <v>18</v>
      </c>
      <c r="Q233" s="5">
        <f t="shared" si="12"/>
        <v>4.822000000000001</v>
      </c>
      <c r="R233" s="5">
        <f t="shared" si="13"/>
        <v>4.93</v>
      </c>
      <c r="S233" s="5">
        <f t="shared" si="14"/>
        <v>2.9550000000000001</v>
      </c>
      <c r="T233" s="23">
        <f>('Investor-Inputs'!$G$19 * Q233) + ('Investor-Inputs'!$J$19 * R233) + ('Investor-Inputs'!$N$19 * S233)</f>
        <v>27.280999999999999</v>
      </c>
      <c r="U233" s="27">
        <f t="shared" si="15"/>
        <v>562</v>
      </c>
    </row>
    <row r="234" spans="3:21" x14ac:dyDescent="0.25">
      <c r="C234" s="2" t="s">
        <v>277</v>
      </c>
      <c r="D234" s="2">
        <v>5</v>
      </c>
      <c r="E234" s="2" t="s">
        <v>14</v>
      </c>
      <c r="F234" s="2" t="s">
        <v>273</v>
      </c>
      <c r="G234" s="3">
        <v>1.99</v>
      </c>
      <c r="H234" s="3">
        <v>1.66</v>
      </c>
      <c r="I234" s="3">
        <v>6.66</v>
      </c>
      <c r="J234" s="3">
        <v>5.54</v>
      </c>
      <c r="K234" s="3">
        <v>6.03</v>
      </c>
      <c r="L234" s="21">
        <v>6.17</v>
      </c>
      <c r="M234" s="3">
        <v>1.1000000000000001</v>
      </c>
      <c r="N234" s="2" t="s">
        <v>171</v>
      </c>
      <c r="O234" s="4" t="s">
        <v>28</v>
      </c>
      <c r="P234" s="18" t="s">
        <v>18</v>
      </c>
      <c r="Q234" s="5">
        <f t="shared" si="12"/>
        <v>5.6790000000000003</v>
      </c>
      <c r="R234" s="5">
        <f t="shared" si="13"/>
        <v>5.8550000000000004</v>
      </c>
      <c r="S234" s="5">
        <f t="shared" si="14"/>
        <v>3.5650000000000004</v>
      </c>
      <c r="T234" s="23">
        <f>('Investor-Inputs'!$G$19 * Q234) + ('Investor-Inputs'!$J$19 * R234) + ('Investor-Inputs'!$N$19 * S234)</f>
        <v>32.311999999999998</v>
      </c>
      <c r="U234" s="27">
        <f t="shared" si="15"/>
        <v>494</v>
      </c>
    </row>
    <row r="235" spans="3:21" x14ac:dyDescent="0.25">
      <c r="C235" s="2" t="s">
        <v>278</v>
      </c>
      <c r="D235" s="2">
        <v>5</v>
      </c>
      <c r="E235" s="2" t="s">
        <v>14</v>
      </c>
      <c r="F235" s="2" t="s">
        <v>273</v>
      </c>
      <c r="G235" s="3">
        <v>4.49</v>
      </c>
      <c r="H235" s="3">
        <v>3.29</v>
      </c>
      <c r="I235" s="3">
        <v>6.76</v>
      </c>
      <c r="J235" s="3">
        <v>6.43</v>
      </c>
      <c r="K235" s="2"/>
      <c r="L235" s="20"/>
      <c r="M235" s="3">
        <v>0.27</v>
      </c>
      <c r="N235" s="2" t="s">
        <v>171</v>
      </c>
      <c r="O235" s="4" t="s">
        <v>28</v>
      </c>
      <c r="P235" s="18" t="s">
        <v>18</v>
      </c>
      <c r="Q235" s="5">
        <f t="shared" si="12"/>
        <v>2.7040000000000002</v>
      </c>
      <c r="R235" s="5">
        <f t="shared" si="13"/>
        <v>3.2149999999999999</v>
      </c>
      <c r="S235" s="5">
        <f t="shared" si="14"/>
        <v>0.13500000000000001</v>
      </c>
      <c r="T235" s="23">
        <f>('Investor-Inputs'!$G$19 * Q235) + ('Investor-Inputs'!$J$19 * R235) + ('Investor-Inputs'!$N$19 * S235)</f>
        <v>14.677</v>
      </c>
      <c r="U235" s="27">
        <f t="shared" si="15"/>
        <v>581</v>
      </c>
    </row>
    <row r="236" spans="3:21" x14ac:dyDescent="0.25">
      <c r="C236" s="2" t="s">
        <v>279</v>
      </c>
      <c r="D236" s="2">
        <v>4</v>
      </c>
      <c r="E236" s="2" t="s">
        <v>14</v>
      </c>
      <c r="F236" s="2" t="s">
        <v>273</v>
      </c>
      <c r="G236" s="3">
        <v>0.12</v>
      </c>
      <c r="H236" s="3">
        <v>1.64</v>
      </c>
      <c r="I236" s="3">
        <v>6.11</v>
      </c>
      <c r="J236" s="3">
        <v>5</v>
      </c>
      <c r="K236" s="3">
        <v>5.69</v>
      </c>
      <c r="L236" s="21">
        <v>5.8</v>
      </c>
      <c r="M236" s="3">
        <v>0.96</v>
      </c>
      <c r="N236" s="2" t="s">
        <v>171</v>
      </c>
      <c r="O236" s="4" t="s">
        <v>17</v>
      </c>
      <c r="P236" s="18" t="s">
        <v>18</v>
      </c>
      <c r="Q236" s="5">
        <f t="shared" si="12"/>
        <v>5.2890000000000006</v>
      </c>
      <c r="R236" s="5">
        <f t="shared" si="13"/>
        <v>5.4</v>
      </c>
      <c r="S236" s="5">
        <f t="shared" si="14"/>
        <v>3.3250000000000002</v>
      </c>
      <c r="T236" s="23">
        <f>('Investor-Inputs'!$G$19 * Q236) + ('Investor-Inputs'!$J$19 * R236) + ('Investor-Inputs'!$N$19 * S236)</f>
        <v>29.992000000000001</v>
      </c>
      <c r="U236" s="27">
        <f t="shared" si="15"/>
        <v>540</v>
      </c>
    </row>
    <row r="237" spans="3:21" x14ac:dyDescent="0.25">
      <c r="C237" s="2" t="s">
        <v>280</v>
      </c>
      <c r="D237" s="2">
        <v>4</v>
      </c>
      <c r="E237" s="2" t="s">
        <v>14</v>
      </c>
      <c r="F237" s="2" t="s">
        <v>273</v>
      </c>
      <c r="G237" s="3">
        <v>2.21</v>
      </c>
      <c r="H237" s="3">
        <v>4.46</v>
      </c>
      <c r="I237" s="3">
        <v>6.58</v>
      </c>
      <c r="J237" s="3">
        <v>6.09</v>
      </c>
      <c r="K237" s="3">
        <v>5.56</v>
      </c>
      <c r="L237" s="21">
        <v>6.17</v>
      </c>
      <c r="M237" s="3">
        <v>0.99</v>
      </c>
      <c r="N237" s="2" t="s">
        <v>171</v>
      </c>
      <c r="O237" s="4" t="s">
        <v>17</v>
      </c>
      <c r="P237" s="18" t="s">
        <v>18</v>
      </c>
      <c r="Q237" s="5">
        <f t="shared" si="12"/>
        <v>5.4119999999999999</v>
      </c>
      <c r="R237" s="5">
        <f t="shared" si="13"/>
        <v>6.13</v>
      </c>
      <c r="S237" s="5">
        <f t="shared" si="14"/>
        <v>3.2749999999999999</v>
      </c>
      <c r="T237" s="23">
        <f>('Investor-Inputs'!$G$19 * Q237) + ('Investor-Inputs'!$J$19 * R237) + ('Investor-Inputs'!$N$19 * S237)</f>
        <v>31.771000000000001</v>
      </c>
      <c r="U237" s="27">
        <f t="shared" si="15"/>
        <v>506</v>
      </c>
    </row>
    <row r="238" spans="3:21" x14ac:dyDescent="0.25">
      <c r="C238" s="2" t="s">
        <v>281</v>
      </c>
      <c r="D238" s="2">
        <v>4</v>
      </c>
      <c r="E238" s="2" t="s">
        <v>14</v>
      </c>
      <c r="F238" s="2" t="s">
        <v>282</v>
      </c>
      <c r="G238" s="3">
        <v>8.7200000000000006</v>
      </c>
      <c r="H238" s="3">
        <v>3.9</v>
      </c>
      <c r="I238" s="3">
        <v>15.34</v>
      </c>
      <c r="J238" s="3">
        <v>10.199999999999999</v>
      </c>
      <c r="K238" s="3">
        <v>13</v>
      </c>
      <c r="L238" s="21">
        <v>11.57</v>
      </c>
      <c r="M238" s="3">
        <v>2.68</v>
      </c>
      <c r="N238" s="2" t="s">
        <v>16</v>
      </c>
      <c r="O238" s="4" t="s">
        <v>17</v>
      </c>
      <c r="P238" s="18" t="s">
        <v>18</v>
      </c>
      <c r="Q238" s="5">
        <f t="shared" si="12"/>
        <v>12.635999999999999</v>
      </c>
      <c r="R238" s="5">
        <f t="shared" si="13"/>
        <v>10.885</v>
      </c>
      <c r="S238" s="5">
        <f t="shared" si="14"/>
        <v>7.84</v>
      </c>
      <c r="T238" s="23">
        <f>('Investor-Inputs'!$G$19 * Q238) + ('Investor-Inputs'!$J$19 * R238) + ('Investor-Inputs'!$N$19 * S238)</f>
        <v>67.518000000000001</v>
      </c>
      <c r="U238" s="27">
        <f t="shared" si="15"/>
        <v>200</v>
      </c>
    </row>
    <row r="239" spans="3:21" x14ac:dyDescent="0.25">
      <c r="C239" s="2" t="s">
        <v>283</v>
      </c>
      <c r="D239" s="2">
        <v>4</v>
      </c>
      <c r="E239" s="2" t="s">
        <v>14</v>
      </c>
      <c r="F239" s="2" t="s">
        <v>282</v>
      </c>
      <c r="G239" s="3">
        <v>13.63</v>
      </c>
      <c r="H239" s="3">
        <v>12.14</v>
      </c>
      <c r="I239" s="3">
        <v>19.8</v>
      </c>
      <c r="J239" s="3">
        <v>11.86</v>
      </c>
      <c r="K239" s="3">
        <v>17.28</v>
      </c>
      <c r="L239" s="21">
        <v>14.61</v>
      </c>
      <c r="M239" s="3">
        <v>2.87</v>
      </c>
      <c r="N239" s="2" t="s">
        <v>16</v>
      </c>
      <c r="O239" s="4" t="s">
        <v>28</v>
      </c>
      <c r="P239" s="18" t="s">
        <v>18</v>
      </c>
      <c r="Q239" s="5">
        <f t="shared" si="12"/>
        <v>16.560000000000002</v>
      </c>
      <c r="R239" s="5">
        <f t="shared" si="13"/>
        <v>13.234999999999999</v>
      </c>
      <c r="S239" s="5">
        <f t="shared" si="14"/>
        <v>10.075000000000001</v>
      </c>
      <c r="T239" s="23">
        <f>('Investor-Inputs'!$G$19 * Q239) + ('Investor-Inputs'!$J$19 * R239) + ('Investor-Inputs'!$N$19 * S239)</f>
        <v>86.225000000000009</v>
      </c>
      <c r="U239" s="27">
        <f t="shared" si="15"/>
        <v>102</v>
      </c>
    </row>
    <row r="240" spans="3:21" x14ac:dyDescent="0.25">
      <c r="C240" s="2" t="s">
        <v>284</v>
      </c>
      <c r="D240" s="2">
        <v>4</v>
      </c>
      <c r="E240" s="2" t="s">
        <v>14</v>
      </c>
      <c r="F240" s="2" t="s">
        <v>282</v>
      </c>
      <c r="G240" s="3">
        <v>3.76</v>
      </c>
      <c r="H240" s="3">
        <v>0.3</v>
      </c>
      <c r="I240" s="3">
        <v>15.1</v>
      </c>
      <c r="J240" s="3">
        <v>8.1999999999999993</v>
      </c>
      <c r="K240" s="3">
        <v>14.44</v>
      </c>
      <c r="L240" s="21">
        <v>11.85</v>
      </c>
      <c r="M240" s="3">
        <v>1.91</v>
      </c>
      <c r="N240" s="2" t="s">
        <v>16</v>
      </c>
      <c r="O240" s="4" t="s">
        <v>17</v>
      </c>
      <c r="P240" s="18" t="s">
        <v>18</v>
      </c>
      <c r="Q240" s="5">
        <f t="shared" si="12"/>
        <v>13.26</v>
      </c>
      <c r="R240" s="5">
        <f t="shared" si="13"/>
        <v>10.024999999999999</v>
      </c>
      <c r="S240" s="5">
        <f t="shared" si="14"/>
        <v>8.1749999999999989</v>
      </c>
      <c r="T240" s="23">
        <f>('Investor-Inputs'!$G$19 * Q240) + ('Investor-Inputs'!$J$19 * R240) + ('Investor-Inputs'!$N$19 * S240)</f>
        <v>68.004999999999995</v>
      </c>
      <c r="U240" s="27">
        <f t="shared" si="15"/>
        <v>196</v>
      </c>
    </row>
    <row r="241" spans="3:21" x14ac:dyDescent="0.25">
      <c r="C241" s="2" t="s">
        <v>285</v>
      </c>
      <c r="D241" s="2">
        <v>4</v>
      </c>
      <c r="E241" s="2" t="s">
        <v>14</v>
      </c>
      <c r="F241" s="2" t="s">
        <v>282</v>
      </c>
      <c r="G241" s="3">
        <v>-0.61</v>
      </c>
      <c r="H241" s="3">
        <v>-5.91</v>
      </c>
      <c r="I241" s="3">
        <v>10.73</v>
      </c>
      <c r="J241" s="3">
        <v>3.47</v>
      </c>
      <c r="K241" s="3">
        <v>12.43</v>
      </c>
      <c r="L241" s="21">
        <v>8.61</v>
      </c>
      <c r="M241" s="3">
        <v>1.74</v>
      </c>
      <c r="N241" s="2" t="s">
        <v>16</v>
      </c>
      <c r="O241" s="4" t="s">
        <v>24</v>
      </c>
      <c r="P241" s="18" t="s">
        <v>18</v>
      </c>
      <c r="Q241" s="5">
        <f t="shared" si="12"/>
        <v>10.507000000000001</v>
      </c>
      <c r="R241" s="5">
        <f t="shared" si="13"/>
        <v>6.04</v>
      </c>
      <c r="S241" s="5">
        <f t="shared" si="14"/>
        <v>7.085</v>
      </c>
      <c r="T241" s="23">
        <f>('Investor-Inputs'!$G$19 * Q241) + ('Investor-Inputs'!$J$19 * R241) + ('Investor-Inputs'!$N$19 * S241)</f>
        <v>50.686000000000007</v>
      </c>
      <c r="U241" s="27">
        <f t="shared" si="15"/>
        <v>283</v>
      </c>
    </row>
    <row r="242" spans="3:21" x14ac:dyDescent="0.25">
      <c r="C242" s="2" t="s">
        <v>286</v>
      </c>
      <c r="D242" s="2">
        <v>4</v>
      </c>
      <c r="E242" s="2" t="s">
        <v>14</v>
      </c>
      <c r="F242" s="2" t="s">
        <v>282</v>
      </c>
      <c r="G242" s="3">
        <v>-1.29</v>
      </c>
      <c r="H242" s="3">
        <v>-7.05</v>
      </c>
      <c r="I242" s="3">
        <v>10.75</v>
      </c>
      <c r="J242" s="3">
        <v>3.26</v>
      </c>
      <c r="K242" s="3">
        <v>11.27</v>
      </c>
      <c r="L242" s="21">
        <v>8.07</v>
      </c>
      <c r="M242" s="3">
        <v>2.1800000000000002</v>
      </c>
      <c r="N242" s="2" t="s">
        <v>16</v>
      </c>
      <c r="O242" s="4" t="s">
        <v>24</v>
      </c>
      <c r="P242" s="18" t="s">
        <v>18</v>
      </c>
      <c r="Q242" s="5">
        <f t="shared" si="12"/>
        <v>9.9349999999999987</v>
      </c>
      <c r="R242" s="5">
        <f t="shared" si="13"/>
        <v>5.665</v>
      </c>
      <c r="S242" s="5">
        <f t="shared" si="14"/>
        <v>6.7249999999999996</v>
      </c>
      <c r="T242" s="23">
        <f>('Investor-Inputs'!$G$19 * Q242) + ('Investor-Inputs'!$J$19 * R242) + ('Investor-Inputs'!$N$19 * S242)</f>
        <v>47.86</v>
      </c>
      <c r="U242" s="27">
        <f t="shared" si="15"/>
        <v>287</v>
      </c>
    </row>
    <row r="243" spans="3:21" x14ac:dyDescent="0.25">
      <c r="C243" s="2" t="s">
        <v>287</v>
      </c>
      <c r="D243" s="2">
        <v>4</v>
      </c>
      <c r="E243" s="2" t="s">
        <v>14</v>
      </c>
      <c r="F243" s="2" t="s">
        <v>282</v>
      </c>
      <c r="G243" s="3">
        <v>6.93</v>
      </c>
      <c r="H243" s="3">
        <v>2.4</v>
      </c>
      <c r="I243" s="3">
        <v>17.28</v>
      </c>
      <c r="J243" s="3">
        <v>9.5299999999999994</v>
      </c>
      <c r="K243" s="3">
        <v>14.53</v>
      </c>
      <c r="L243" s="21">
        <v>12.75</v>
      </c>
      <c r="M243" s="3">
        <v>5.98</v>
      </c>
      <c r="N243" s="2" t="s">
        <v>16</v>
      </c>
      <c r="O243" s="4" t="s">
        <v>17</v>
      </c>
      <c r="P243" s="18" t="s">
        <v>18</v>
      </c>
      <c r="Q243" s="5">
        <f t="shared" si="12"/>
        <v>14.177</v>
      </c>
      <c r="R243" s="5">
        <f t="shared" si="13"/>
        <v>11.14</v>
      </c>
      <c r="S243" s="5">
        <f t="shared" si="14"/>
        <v>10.254999999999999</v>
      </c>
      <c r="T243" s="23">
        <f>('Investor-Inputs'!$G$19 * Q243) + ('Investor-Inputs'!$J$19 * R243) + ('Investor-Inputs'!$N$19 * S243)</f>
        <v>75.066000000000003</v>
      </c>
      <c r="U243" s="27">
        <f t="shared" si="15"/>
        <v>160</v>
      </c>
    </row>
    <row r="244" spans="3:21" x14ac:dyDescent="0.25">
      <c r="C244" s="2" t="s">
        <v>288</v>
      </c>
      <c r="D244" s="2">
        <v>5</v>
      </c>
      <c r="E244" s="2" t="s">
        <v>14</v>
      </c>
      <c r="F244" s="2" t="s">
        <v>282</v>
      </c>
      <c r="G244" s="3">
        <v>5.07</v>
      </c>
      <c r="H244" s="3">
        <v>1.82</v>
      </c>
      <c r="I244" s="3">
        <v>17.63</v>
      </c>
      <c r="J244" s="3">
        <v>10.4</v>
      </c>
      <c r="K244" s="3">
        <v>18.260000000000002</v>
      </c>
      <c r="L244" s="21">
        <v>14.41</v>
      </c>
      <c r="M244" s="3">
        <v>2.89</v>
      </c>
      <c r="N244" s="2" t="s">
        <v>16</v>
      </c>
      <c r="O244" s="4" t="s">
        <v>28</v>
      </c>
      <c r="P244" s="18" t="s">
        <v>18</v>
      </c>
      <c r="Q244" s="5">
        <f t="shared" si="12"/>
        <v>16.182000000000002</v>
      </c>
      <c r="R244" s="5">
        <f t="shared" si="13"/>
        <v>12.405000000000001</v>
      </c>
      <c r="S244" s="5">
        <f t="shared" si="14"/>
        <v>10.575000000000001</v>
      </c>
      <c r="T244" s="23">
        <f>('Investor-Inputs'!$G$19 * Q244) + ('Investor-Inputs'!$J$19 * R244) + ('Investor-Inputs'!$N$19 * S244)</f>
        <v>83.931000000000012</v>
      </c>
      <c r="U244" s="27">
        <f t="shared" si="15"/>
        <v>112</v>
      </c>
    </row>
    <row r="245" spans="3:21" x14ac:dyDescent="0.25">
      <c r="C245" s="2" t="s">
        <v>289</v>
      </c>
      <c r="D245" s="2">
        <v>5</v>
      </c>
      <c r="E245" s="2" t="s">
        <v>14</v>
      </c>
      <c r="F245" s="2" t="s">
        <v>282</v>
      </c>
      <c r="G245" s="3">
        <v>13.41</v>
      </c>
      <c r="H245" s="3">
        <v>7.26</v>
      </c>
      <c r="I245" s="3">
        <v>20.96</v>
      </c>
      <c r="J245" s="3">
        <v>13.18</v>
      </c>
      <c r="K245" s="3">
        <v>16.27</v>
      </c>
      <c r="L245" s="21">
        <v>15.44</v>
      </c>
      <c r="M245" s="3">
        <v>2.5299999999999998</v>
      </c>
      <c r="N245" s="2" t="s">
        <v>16</v>
      </c>
      <c r="O245" s="4" t="s">
        <v>28</v>
      </c>
      <c r="P245" s="18" t="s">
        <v>18</v>
      </c>
      <c r="Q245" s="5">
        <f t="shared" si="12"/>
        <v>16.518999999999998</v>
      </c>
      <c r="R245" s="5">
        <f t="shared" si="13"/>
        <v>14.309999999999999</v>
      </c>
      <c r="S245" s="5">
        <f t="shared" si="14"/>
        <v>9.4</v>
      </c>
      <c r="T245" s="23">
        <f>('Investor-Inputs'!$G$19 * Q245) + ('Investor-Inputs'!$J$19 * R245) + ('Investor-Inputs'!$N$19 * S245)</f>
        <v>87.576999999999998</v>
      </c>
      <c r="U245" s="27">
        <f t="shared" si="15"/>
        <v>91</v>
      </c>
    </row>
    <row r="246" spans="3:21" x14ac:dyDescent="0.25">
      <c r="C246" s="2" t="s">
        <v>290</v>
      </c>
      <c r="D246" s="2">
        <v>4</v>
      </c>
      <c r="E246" s="2" t="s">
        <v>14</v>
      </c>
      <c r="F246" s="2" t="s">
        <v>282</v>
      </c>
      <c r="G246" s="3">
        <v>-0.94</v>
      </c>
      <c r="H246" s="3">
        <v>-5.67</v>
      </c>
      <c r="I246" s="3">
        <v>16.27</v>
      </c>
      <c r="J246" s="3">
        <v>4.33</v>
      </c>
      <c r="K246" s="3">
        <v>14.06</v>
      </c>
      <c r="L246" s="21">
        <v>11.02</v>
      </c>
      <c r="M246" s="3">
        <v>2.93</v>
      </c>
      <c r="N246" s="2" t="s">
        <v>16</v>
      </c>
      <c r="O246" s="4" t="s">
        <v>17</v>
      </c>
      <c r="P246" s="18" t="s">
        <v>18</v>
      </c>
      <c r="Q246" s="5">
        <f t="shared" si="12"/>
        <v>13.538</v>
      </c>
      <c r="R246" s="5">
        <f t="shared" si="13"/>
        <v>7.6749999999999998</v>
      </c>
      <c r="S246" s="5">
        <f t="shared" si="14"/>
        <v>8.495000000000001</v>
      </c>
      <c r="T246" s="23">
        <f>('Investor-Inputs'!$G$19 * Q246) + ('Investor-Inputs'!$J$19 * R246) + ('Investor-Inputs'!$N$19 * S246)</f>
        <v>64.459000000000003</v>
      </c>
      <c r="U246" s="27">
        <f t="shared" si="15"/>
        <v>210</v>
      </c>
    </row>
    <row r="247" spans="3:21" x14ac:dyDescent="0.25">
      <c r="C247" s="2" t="s">
        <v>291</v>
      </c>
      <c r="D247" s="2">
        <v>4</v>
      </c>
      <c r="E247" s="2" t="s">
        <v>14</v>
      </c>
      <c r="F247" s="2" t="s">
        <v>282</v>
      </c>
      <c r="G247" s="3">
        <v>7.84</v>
      </c>
      <c r="H247" s="3">
        <v>3.41</v>
      </c>
      <c r="I247" s="3">
        <v>14.43</v>
      </c>
      <c r="J247" s="3">
        <v>8.92</v>
      </c>
      <c r="K247" s="3">
        <v>13.09</v>
      </c>
      <c r="L247" s="21">
        <v>11.29</v>
      </c>
      <c r="M247" s="3">
        <v>1.8</v>
      </c>
      <c r="N247" s="2" t="s">
        <v>16</v>
      </c>
      <c r="O247" s="4" t="s">
        <v>17</v>
      </c>
      <c r="P247" s="18" t="s">
        <v>18</v>
      </c>
      <c r="Q247" s="5">
        <f t="shared" si="12"/>
        <v>12.317</v>
      </c>
      <c r="R247" s="5">
        <f t="shared" si="13"/>
        <v>10.105</v>
      </c>
      <c r="S247" s="5">
        <f t="shared" si="14"/>
        <v>7.4450000000000003</v>
      </c>
      <c r="T247" s="23">
        <f>('Investor-Inputs'!$G$19 * Q247) + ('Investor-Inputs'!$J$19 * R247) + ('Investor-Inputs'!$N$19 * S247)</f>
        <v>64.605999999999995</v>
      </c>
      <c r="U247" s="27">
        <f t="shared" si="15"/>
        <v>206</v>
      </c>
    </row>
    <row r="248" spans="3:21" x14ac:dyDescent="0.25">
      <c r="C248" s="2" t="s">
        <v>292</v>
      </c>
      <c r="D248" s="2">
        <v>4</v>
      </c>
      <c r="E248" s="2" t="s">
        <v>14</v>
      </c>
      <c r="F248" s="2" t="s">
        <v>282</v>
      </c>
      <c r="G248" s="3">
        <v>1.07</v>
      </c>
      <c r="H248" s="3">
        <v>-4.09</v>
      </c>
      <c r="I248" s="3">
        <v>14.7</v>
      </c>
      <c r="J248" s="3">
        <v>6.89</v>
      </c>
      <c r="K248" s="3">
        <v>13.47</v>
      </c>
      <c r="L248" s="21">
        <v>10.63</v>
      </c>
      <c r="M248" s="3">
        <v>1.98</v>
      </c>
      <c r="N248" s="2" t="s">
        <v>16</v>
      </c>
      <c r="O248" s="4" t="s">
        <v>17</v>
      </c>
      <c r="P248" s="18" t="s">
        <v>18</v>
      </c>
      <c r="Q248" s="5">
        <f t="shared" si="12"/>
        <v>12.615</v>
      </c>
      <c r="R248" s="5">
        <f t="shared" si="13"/>
        <v>8.76</v>
      </c>
      <c r="S248" s="5">
        <f t="shared" si="14"/>
        <v>7.7250000000000005</v>
      </c>
      <c r="T248" s="23">
        <f>('Investor-Inputs'!$G$19 * Q248) + ('Investor-Inputs'!$J$19 * R248) + ('Investor-Inputs'!$N$19 * S248)</f>
        <v>63.089999999999996</v>
      </c>
      <c r="U248" s="27">
        <f t="shared" si="15"/>
        <v>220</v>
      </c>
    </row>
    <row r="249" spans="3:21" x14ac:dyDescent="0.25">
      <c r="C249" s="2" t="s">
        <v>293</v>
      </c>
      <c r="D249" s="2">
        <v>4</v>
      </c>
      <c r="E249" s="2" t="s">
        <v>14</v>
      </c>
      <c r="F249" s="2" t="s">
        <v>282</v>
      </c>
      <c r="G249" s="3">
        <v>3.73</v>
      </c>
      <c r="H249" s="3">
        <v>-0.12</v>
      </c>
      <c r="I249" s="3">
        <v>13.47</v>
      </c>
      <c r="J249" s="3">
        <v>7.07</v>
      </c>
      <c r="K249" s="3">
        <v>12.81</v>
      </c>
      <c r="L249" s="21">
        <v>10.54</v>
      </c>
      <c r="M249" s="3">
        <v>1.91</v>
      </c>
      <c r="N249" s="2" t="s">
        <v>16</v>
      </c>
      <c r="O249" s="4" t="s">
        <v>17</v>
      </c>
      <c r="P249" s="18" t="s">
        <v>18</v>
      </c>
      <c r="Q249" s="5">
        <f t="shared" si="12"/>
        <v>11.793000000000001</v>
      </c>
      <c r="R249" s="5">
        <f t="shared" si="13"/>
        <v>8.8049999999999997</v>
      </c>
      <c r="S249" s="5">
        <f t="shared" si="14"/>
        <v>7.36</v>
      </c>
      <c r="T249" s="23">
        <f>('Investor-Inputs'!$G$19 * Q249) + ('Investor-Inputs'!$J$19 * R249) + ('Investor-Inputs'!$N$19 * S249)</f>
        <v>60.349000000000004</v>
      </c>
      <c r="U249" s="27">
        <f t="shared" si="15"/>
        <v>240</v>
      </c>
    </row>
    <row r="250" spans="3:21" x14ac:dyDescent="0.25">
      <c r="C250" s="2" t="s">
        <v>294</v>
      </c>
      <c r="D250" s="2">
        <v>5</v>
      </c>
      <c r="E250" s="2" t="s">
        <v>14</v>
      </c>
      <c r="F250" s="2" t="s">
        <v>282</v>
      </c>
      <c r="G250" s="3">
        <v>18.52</v>
      </c>
      <c r="H250" s="3">
        <v>16.559999999999999</v>
      </c>
      <c r="I250" s="3">
        <v>23.85</v>
      </c>
      <c r="J250" s="3">
        <v>17.39</v>
      </c>
      <c r="K250" s="3">
        <v>25.57</v>
      </c>
      <c r="L250" s="21">
        <v>19.600000000000001</v>
      </c>
      <c r="M250" s="3">
        <v>3.22</v>
      </c>
      <c r="N250" s="2" t="s">
        <v>16</v>
      </c>
      <c r="O250" s="4" t="s">
        <v>28</v>
      </c>
      <c r="P250" s="18" t="s">
        <v>18</v>
      </c>
      <c r="Q250" s="5">
        <f t="shared" si="12"/>
        <v>22.325000000000003</v>
      </c>
      <c r="R250" s="5">
        <f t="shared" si="13"/>
        <v>18.495000000000001</v>
      </c>
      <c r="S250" s="5">
        <f t="shared" si="14"/>
        <v>14.395</v>
      </c>
      <c r="T250" s="23">
        <f>('Investor-Inputs'!$G$19 * Q250) + ('Investor-Inputs'!$J$19 * R250) + ('Investor-Inputs'!$N$19 * S250)</f>
        <v>118.36</v>
      </c>
      <c r="U250" s="27">
        <f t="shared" si="15"/>
        <v>17</v>
      </c>
    </row>
    <row r="251" spans="3:21" x14ac:dyDescent="0.25">
      <c r="C251" s="2" t="s">
        <v>295</v>
      </c>
      <c r="D251" s="2">
        <v>4</v>
      </c>
      <c r="E251" s="2" t="s">
        <v>14</v>
      </c>
      <c r="F251" s="2" t="s">
        <v>282</v>
      </c>
      <c r="G251" s="3">
        <v>6.46</v>
      </c>
      <c r="H251" s="3">
        <v>4.26</v>
      </c>
      <c r="I251" s="3">
        <v>14.29</v>
      </c>
      <c r="J251" s="3">
        <v>10.130000000000001</v>
      </c>
      <c r="K251" s="3">
        <v>12.04</v>
      </c>
      <c r="L251" s="21">
        <v>10.99</v>
      </c>
      <c r="M251" s="3">
        <v>1.31</v>
      </c>
      <c r="N251" s="2" t="s">
        <v>16</v>
      </c>
      <c r="O251" s="4" t="s">
        <v>24</v>
      </c>
      <c r="P251" s="18" t="s">
        <v>18</v>
      </c>
      <c r="Q251" s="5">
        <f t="shared" si="12"/>
        <v>11.736000000000001</v>
      </c>
      <c r="R251" s="5">
        <f t="shared" si="13"/>
        <v>10.56</v>
      </c>
      <c r="S251" s="5">
        <f t="shared" si="14"/>
        <v>6.6749999999999998</v>
      </c>
      <c r="T251" s="23">
        <f>('Investor-Inputs'!$G$19 * Q251) + ('Investor-Inputs'!$J$19 * R251) + ('Investor-Inputs'!$N$19 * S251)</f>
        <v>63.003</v>
      </c>
      <c r="U251" s="27">
        <f t="shared" si="15"/>
        <v>222</v>
      </c>
    </row>
    <row r="252" spans="3:21" x14ac:dyDescent="0.25">
      <c r="C252" s="2" t="s">
        <v>296</v>
      </c>
      <c r="D252" s="2">
        <v>5</v>
      </c>
      <c r="E252" s="2" t="s">
        <v>14</v>
      </c>
      <c r="F252" s="2" t="s">
        <v>282</v>
      </c>
      <c r="G252" s="3">
        <v>1.95</v>
      </c>
      <c r="H252" s="3">
        <v>-2</v>
      </c>
      <c r="I252" s="3">
        <v>14.14</v>
      </c>
      <c r="J252" s="3">
        <v>6.97</v>
      </c>
      <c r="K252" s="3">
        <v>13.8</v>
      </c>
      <c r="L252" s="21">
        <v>10.91</v>
      </c>
      <c r="M252" s="3">
        <v>1.85</v>
      </c>
      <c r="N252" s="2" t="s">
        <v>16</v>
      </c>
      <c r="O252" s="4" t="s">
        <v>17</v>
      </c>
      <c r="P252" s="18" t="s">
        <v>18</v>
      </c>
      <c r="Q252" s="5">
        <f t="shared" si="12"/>
        <v>12.556000000000001</v>
      </c>
      <c r="R252" s="5">
        <f t="shared" si="13"/>
        <v>8.94</v>
      </c>
      <c r="S252" s="5">
        <f t="shared" si="14"/>
        <v>7.8250000000000002</v>
      </c>
      <c r="T252" s="23">
        <f>('Investor-Inputs'!$G$19 * Q252) + ('Investor-Inputs'!$J$19 * R252) + ('Investor-Inputs'!$N$19 * S252)</f>
        <v>63.373000000000005</v>
      </c>
      <c r="U252" s="27">
        <f t="shared" si="15"/>
        <v>218</v>
      </c>
    </row>
    <row r="253" spans="3:21" x14ac:dyDescent="0.25">
      <c r="C253" s="2" t="s">
        <v>297</v>
      </c>
      <c r="D253" s="2">
        <v>4</v>
      </c>
      <c r="E253" s="2" t="s">
        <v>14</v>
      </c>
      <c r="F253" s="2" t="s">
        <v>298</v>
      </c>
      <c r="G253" s="3">
        <v>4.6500000000000004</v>
      </c>
      <c r="H253" s="3">
        <v>2.83</v>
      </c>
      <c r="I253" s="3">
        <v>8.58</v>
      </c>
      <c r="J253" s="3">
        <v>6.85</v>
      </c>
      <c r="K253" s="3">
        <v>8.1300000000000008</v>
      </c>
      <c r="L253" s="21">
        <v>7.51</v>
      </c>
      <c r="M253" s="3">
        <v>1.8</v>
      </c>
      <c r="N253" s="2" t="s">
        <v>242</v>
      </c>
      <c r="O253" s="4" t="s">
        <v>24</v>
      </c>
      <c r="P253" s="18" t="s">
        <v>18</v>
      </c>
      <c r="Q253" s="5">
        <f t="shared" si="12"/>
        <v>7.4970000000000008</v>
      </c>
      <c r="R253" s="5">
        <f t="shared" si="13"/>
        <v>7.18</v>
      </c>
      <c r="S253" s="5">
        <f t="shared" si="14"/>
        <v>4.9650000000000007</v>
      </c>
      <c r="T253" s="23">
        <f>('Investor-Inputs'!$G$19 * Q253) + ('Investor-Inputs'!$J$19 * R253) + ('Investor-Inputs'!$N$19 * S253)</f>
        <v>41.816000000000003</v>
      </c>
      <c r="U253" s="27">
        <f t="shared" si="15"/>
        <v>307</v>
      </c>
    </row>
    <row r="254" spans="3:21" x14ac:dyDescent="0.25">
      <c r="C254" s="2" t="s">
        <v>299</v>
      </c>
      <c r="D254" s="2">
        <v>4</v>
      </c>
      <c r="E254" s="2" t="s">
        <v>14</v>
      </c>
      <c r="F254" s="2" t="s">
        <v>298</v>
      </c>
      <c r="G254" s="3">
        <v>4.5199999999999996</v>
      </c>
      <c r="H254" s="3">
        <v>3.33</v>
      </c>
      <c r="I254" s="3">
        <v>7.04</v>
      </c>
      <c r="J254" s="3">
        <v>4.96</v>
      </c>
      <c r="K254" s="3">
        <v>10.19</v>
      </c>
      <c r="L254" s="21">
        <v>7.39</v>
      </c>
      <c r="M254" s="3">
        <v>2.19</v>
      </c>
      <c r="N254" s="2" t="s">
        <v>242</v>
      </c>
      <c r="O254" s="4" t="s">
        <v>28</v>
      </c>
      <c r="P254" s="18" t="s">
        <v>18</v>
      </c>
      <c r="Q254" s="5">
        <f t="shared" si="12"/>
        <v>7.9109999999999996</v>
      </c>
      <c r="R254" s="5">
        <f t="shared" si="13"/>
        <v>6.1749999999999998</v>
      </c>
      <c r="S254" s="5">
        <f t="shared" si="14"/>
        <v>6.1899999999999995</v>
      </c>
      <c r="T254" s="23">
        <f>('Investor-Inputs'!$G$19 * Q254) + ('Investor-Inputs'!$J$19 * R254) + ('Investor-Inputs'!$N$19 * S254)</f>
        <v>42.272999999999996</v>
      </c>
      <c r="U254" s="27">
        <f t="shared" si="15"/>
        <v>301</v>
      </c>
    </row>
    <row r="255" spans="3:21" x14ac:dyDescent="0.25">
      <c r="C255" s="2" t="s">
        <v>300</v>
      </c>
      <c r="D255" s="2">
        <v>4</v>
      </c>
      <c r="E255" s="2" t="s">
        <v>14</v>
      </c>
      <c r="F255" s="2" t="s">
        <v>298</v>
      </c>
      <c r="G255" s="3">
        <v>2.98</v>
      </c>
      <c r="H255" s="3">
        <v>2.0499999999999998</v>
      </c>
      <c r="I255" s="3">
        <v>9.1300000000000008</v>
      </c>
      <c r="J255" s="3">
        <v>6.65</v>
      </c>
      <c r="K255" s="3">
        <v>7.52</v>
      </c>
      <c r="L255" s="21">
        <v>7.5</v>
      </c>
      <c r="M255" s="3">
        <v>1.64</v>
      </c>
      <c r="N255" s="2" t="s">
        <v>242</v>
      </c>
      <c r="O255" s="4" t="s">
        <v>24</v>
      </c>
      <c r="P255" s="18" t="s">
        <v>18</v>
      </c>
      <c r="Q255" s="5">
        <f t="shared" si="12"/>
        <v>7.4120000000000008</v>
      </c>
      <c r="R255" s="5">
        <f t="shared" si="13"/>
        <v>7.0750000000000002</v>
      </c>
      <c r="S255" s="5">
        <f t="shared" si="14"/>
        <v>4.58</v>
      </c>
      <c r="T255" s="23">
        <f>('Investor-Inputs'!$G$19 * Q255) + ('Investor-Inputs'!$J$19 * R255) + ('Investor-Inputs'!$N$19 * S255)</f>
        <v>40.966000000000001</v>
      </c>
      <c r="U255" s="27">
        <f t="shared" si="15"/>
        <v>313</v>
      </c>
    </row>
    <row r="256" spans="3:21" x14ac:dyDescent="0.25">
      <c r="C256" s="2" t="s">
        <v>301</v>
      </c>
      <c r="D256" s="2">
        <v>4</v>
      </c>
      <c r="E256" s="2" t="s">
        <v>14</v>
      </c>
      <c r="F256" s="2" t="s">
        <v>298</v>
      </c>
      <c r="G256" s="3">
        <v>0.83</v>
      </c>
      <c r="H256" s="3">
        <v>-0.06</v>
      </c>
      <c r="I256" s="3">
        <v>8.41</v>
      </c>
      <c r="J256" s="3">
        <v>5.12</v>
      </c>
      <c r="K256" s="3">
        <v>8.7100000000000009</v>
      </c>
      <c r="L256" s="21">
        <v>7.24</v>
      </c>
      <c r="M256" s="3">
        <v>1.73</v>
      </c>
      <c r="N256" s="2" t="s">
        <v>242</v>
      </c>
      <c r="O256" s="4" t="s">
        <v>17</v>
      </c>
      <c r="P256" s="18" t="s">
        <v>18</v>
      </c>
      <c r="Q256" s="5">
        <f t="shared" si="12"/>
        <v>7.7190000000000012</v>
      </c>
      <c r="R256" s="5">
        <f t="shared" si="13"/>
        <v>6.18</v>
      </c>
      <c r="S256" s="5">
        <f t="shared" si="14"/>
        <v>5.2200000000000006</v>
      </c>
      <c r="T256" s="23">
        <f>('Investor-Inputs'!$G$19 * Q256) + ('Investor-Inputs'!$J$19 * R256) + ('Investor-Inputs'!$N$19 * S256)</f>
        <v>40.737000000000002</v>
      </c>
      <c r="U256" s="27">
        <f t="shared" si="15"/>
        <v>317</v>
      </c>
    </row>
    <row r="257" spans="3:21" x14ac:dyDescent="0.25">
      <c r="C257" s="2" t="s">
        <v>302</v>
      </c>
      <c r="D257" s="2">
        <v>5</v>
      </c>
      <c r="E257" s="2" t="s">
        <v>14</v>
      </c>
      <c r="F257" s="2" t="s">
        <v>298</v>
      </c>
      <c r="G257" s="3">
        <v>4.6100000000000003</v>
      </c>
      <c r="H257" s="3">
        <v>2.54</v>
      </c>
      <c r="I257" s="3">
        <v>9.4600000000000009</v>
      </c>
      <c r="J257" s="3">
        <v>7.05</v>
      </c>
      <c r="K257" s="3">
        <v>8.56</v>
      </c>
      <c r="L257" s="21">
        <v>8.0500000000000007</v>
      </c>
      <c r="M257" s="3">
        <v>1.78</v>
      </c>
      <c r="N257" s="2" t="s">
        <v>28</v>
      </c>
      <c r="O257" s="4" t="s">
        <v>17</v>
      </c>
      <c r="P257" s="18" t="s">
        <v>18</v>
      </c>
      <c r="Q257" s="5">
        <f t="shared" si="12"/>
        <v>8.0640000000000001</v>
      </c>
      <c r="R257" s="5">
        <f t="shared" si="13"/>
        <v>7.5500000000000007</v>
      </c>
      <c r="S257" s="5">
        <f t="shared" si="14"/>
        <v>5.17</v>
      </c>
      <c r="T257" s="23">
        <f>('Investor-Inputs'!$G$19 * Q257) + ('Investor-Inputs'!$J$19 * R257) + ('Investor-Inputs'!$N$19 * S257)</f>
        <v>44.462000000000003</v>
      </c>
      <c r="U257" s="27">
        <f t="shared" si="15"/>
        <v>297</v>
      </c>
    </row>
    <row r="258" spans="3:21" x14ac:dyDescent="0.25">
      <c r="C258" s="2" t="s">
        <v>303</v>
      </c>
      <c r="D258" s="2">
        <v>4</v>
      </c>
      <c r="E258" s="2" t="s">
        <v>14</v>
      </c>
      <c r="F258" s="2" t="s">
        <v>298</v>
      </c>
      <c r="G258" s="3">
        <v>6.66</v>
      </c>
      <c r="H258" s="3">
        <v>3.78</v>
      </c>
      <c r="I258" s="3">
        <v>10.65</v>
      </c>
      <c r="J258" s="3">
        <v>7.52</v>
      </c>
      <c r="K258" s="3">
        <v>8.02</v>
      </c>
      <c r="L258" s="21">
        <v>8.35</v>
      </c>
      <c r="M258" s="3">
        <v>2.54</v>
      </c>
      <c r="N258" s="2" t="s">
        <v>28</v>
      </c>
      <c r="O258" s="4" t="s">
        <v>17</v>
      </c>
      <c r="P258" s="18" t="s">
        <v>18</v>
      </c>
      <c r="Q258" s="5">
        <f t="shared" si="12"/>
        <v>8.27</v>
      </c>
      <c r="R258" s="5">
        <f t="shared" si="13"/>
        <v>7.9349999999999996</v>
      </c>
      <c r="S258" s="5">
        <f t="shared" si="14"/>
        <v>5.2799999999999994</v>
      </c>
      <c r="T258" s="23">
        <f>('Investor-Inputs'!$G$19 * Q258) + ('Investor-Inputs'!$J$19 * R258) + ('Investor-Inputs'!$N$19 * S258)</f>
        <v>45.96</v>
      </c>
      <c r="U258" s="27">
        <f t="shared" si="15"/>
        <v>291</v>
      </c>
    </row>
    <row r="259" spans="3:21" x14ac:dyDescent="0.25">
      <c r="C259" s="2" t="s">
        <v>304</v>
      </c>
      <c r="D259" s="2">
        <v>5</v>
      </c>
      <c r="E259" s="2" t="s">
        <v>14</v>
      </c>
      <c r="F259" s="2" t="s">
        <v>298</v>
      </c>
      <c r="G259" s="3">
        <v>6.85</v>
      </c>
      <c r="H259" s="3">
        <v>5.35</v>
      </c>
      <c r="I259" s="3">
        <v>8.1199999999999992</v>
      </c>
      <c r="J259" s="3">
        <v>7.51</v>
      </c>
      <c r="K259" s="3">
        <v>8</v>
      </c>
      <c r="L259" s="21">
        <v>7.83</v>
      </c>
      <c r="M259" s="3">
        <v>1.8</v>
      </c>
      <c r="N259" s="2" t="s">
        <v>28</v>
      </c>
      <c r="O259" s="4" t="s">
        <v>24</v>
      </c>
      <c r="P259" s="18" t="s">
        <v>18</v>
      </c>
      <c r="Q259" s="5">
        <f t="shared" si="12"/>
        <v>7.2479999999999993</v>
      </c>
      <c r="R259" s="5">
        <f t="shared" si="13"/>
        <v>7.67</v>
      </c>
      <c r="S259" s="5">
        <f t="shared" si="14"/>
        <v>4.9000000000000004</v>
      </c>
      <c r="T259" s="23">
        <f>('Investor-Inputs'!$G$19 * Q259) + ('Investor-Inputs'!$J$19 * R259) + ('Investor-Inputs'!$N$19 * S259)</f>
        <v>41.984000000000002</v>
      </c>
      <c r="U259" s="27">
        <f t="shared" si="15"/>
        <v>305</v>
      </c>
    </row>
    <row r="260" spans="3:21" x14ac:dyDescent="0.25">
      <c r="C260" s="2" t="s">
        <v>305</v>
      </c>
      <c r="D260" s="2">
        <v>5</v>
      </c>
      <c r="E260" s="2" t="s">
        <v>14</v>
      </c>
      <c r="F260" s="2" t="s">
        <v>298</v>
      </c>
      <c r="G260" s="3">
        <v>4.8</v>
      </c>
      <c r="H260" s="3">
        <v>4.03</v>
      </c>
      <c r="I260" s="3">
        <v>10.36</v>
      </c>
      <c r="J260" s="3">
        <v>8.0299999999999994</v>
      </c>
      <c r="K260" s="2"/>
      <c r="L260" s="20"/>
      <c r="M260" s="3">
        <v>0.62</v>
      </c>
      <c r="N260" s="2" t="s">
        <v>242</v>
      </c>
      <c r="O260" s="4" t="s">
        <v>28</v>
      </c>
      <c r="P260" s="18" t="s">
        <v>18</v>
      </c>
      <c r="Q260" s="5">
        <f t="shared" si="12"/>
        <v>4.1440000000000001</v>
      </c>
      <c r="R260" s="5">
        <f t="shared" si="13"/>
        <v>4.0149999999999997</v>
      </c>
      <c r="S260" s="5">
        <f t="shared" si="14"/>
        <v>0.31</v>
      </c>
      <c r="T260" s="23">
        <f>('Investor-Inputs'!$G$19 * Q260) + ('Investor-Inputs'!$J$19 * R260) + ('Investor-Inputs'!$N$19 * S260)</f>
        <v>20.771999999999998</v>
      </c>
      <c r="U260" s="27">
        <f t="shared" si="15"/>
        <v>575</v>
      </c>
    </row>
    <row r="261" spans="3:21" x14ac:dyDescent="0.25">
      <c r="C261" s="2" t="s">
        <v>306</v>
      </c>
      <c r="D261" s="2">
        <v>5</v>
      </c>
      <c r="E261" s="2" t="s">
        <v>14</v>
      </c>
      <c r="F261" s="2" t="s">
        <v>298</v>
      </c>
      <c r="G261" s="3">
        <v>4.71</v>
      </c>
      <c r="H261" s="3">
        <v>5.18</v>
      </c>
      <c r="I261" s="3">
        <v>11.87</v>
      </c>
      <c r="J261" s="3">
        <v>8.4</v>
      </c>
      <c r="K261" s="3">
        <v>11.2</v>
      </c>
      <c r="L261" s="21">
        <v>9.86</v>
      </c>
      <c r="M261" s="3">
        <v>1.25</v>
      </c>
      <c r="N261" s="2" t="s">
        <v>242</v>
      </c>
      <c r="O261" s="4" t="s">
        <v>28</v>
      </c>
      <c r="P261" s="18" t="s">
        <v>18</v>
      </c>
      <c r="Q261" s="5">
        <f t="shared" si="12"/>
        <v>10.347999999999999</v>
      </c>
      <c r="R261" s="5">
        <f t="shared" si="13"/>
        <v>9.129999999999999</v>
      </c>
      <c r="S261" s="5">
        <f t="shared" si="14"/>
        <v>6.2249999999999996</v>
      </c>
      <c r="T261" s="23">
        <f>('Investor-Inputs'!$G$19 * Q261) + ('Investor-Inputs'!$J$19 * R261) + ('Investor-Inputs'!$N$19 * S261)</f>
        <v>55.528999999999996</v>
      </c>
      <c r="U261" s="27">
        <f t="shared" si="15"/>
        <v>264</v>
      </c>
    </row>
    <row r="262" spans="3:21" x14ac:dyDescent="0.25">
      <c r="C262" s="2" t="s">
        <v>307</v>
      </c>
      <c r="D262" s="2">
        <v>4</v>
      </c>
      <c r="E262" s="2" t="s">
        <v>14</v>
      </c>
      <c r="F262" s="2" t="s">
        <v>298</v>
      </c>
      <c r="G262" s="3">
        <v>5.17</v>
      </c>
      <c r="H262" s="3">
        <v>3.87</v>
      </c>
      <c r="I262" s="3">
        <v>9.31</v>
      </c>
      <c r="J262" s="3">
        <v>6.91</v>
      </c>
      <c r="K262" s="3">
        <v>9.06</v>
      </c>
      <c r="L262" s="21">
        <v>8.14</v>
      </c>
      <c r="M262" s="3">
        <v>1.5</v>
      </c>
      <c r="N262" s="2" t="s">
        <v>28</v>
      </c>
      <c r="O262" s="4" t="s">
        <v>28</v>
      </c>
      <c r="P262" s="18" t="s">
        <v>18</v>
      </c>
      <c r="Q262" s="5">
        <f t="shared" si="12"/>
        <v>8.2540000000000013</v>
      </c>
      <c r="R262" s="5">
        <f t="shared" si="13"/>
        <v>7.5250000000000004</v>
      </c>
      <c r="S262" s="5">
        <f t="shared" si="14"/>
        <v>5.28</v>
      </c>
      <c r="T262" s="23">
        <f>('Investor-Inputs'!$G$19 * Q262) + ('Investor-Inputs'!$J$19 * R262) + ('Investor-Inputs'!$N$19 * S262)</f>
        <v>45.092000000000006</v>
      </c>
      <c r="U262" s="27">
        <f t="shared" si="15"/>
        <v>295</v>
      </c>
    </row>
    <row r="263" spans="3:21" x14ac:dyDescent="0.25">
      <c r="C263" s="2" t="s">
        <v>308</v>
      </c>
      <c r="D263" s="2">
        <v>4</v>
      </c>
      <c r="E263" s="2" t="s">
        <v>14</v>
      </c>
      <c r="F263" s="2" t="s">
        <v>309</v>
      </c>
      <c r="G263" s="3">
        <v>1.98</v>
      </c>
      <c r="H263" s="3">
        <v>0.84</v>
      </c>
      <c r="I263" s="3">
        <v>9.2799999999999994</v>
      </c>
      <c r="J263" s="3">
        <v>6.13</v>
      </c>
      <c r="K263" s="3">
        <v>8.23</v>
      </c>
      <c r="L263" s="21">
        <v>7.43</v>
      </c>
      <c r="M263" s="3">
        <v>1.94</v>
      </c>
      <c r="N263" s="2" t="s">
        <v>171</v>
      </c>
      <c r="O263" s="4" t="s">
        <v>24</v>
      </c>
      <c r="P263" s="18" t="s">
        <v>18</v>
      </c>
      <c r="Q263" s="5">
        <f t="shared" si="12"/>
        <v>7.827</v>
      </c>
      <c r="R263" s="5">
        <f t="shared" si="13"/>
        <v>6.7799999999999994</v>
      </c>
      <c r="S263" s="5">
        <f t="shared" si="14"/>
        <v>5.085</v>
      </c>
      <c r="T263" s="23">
        <f>('Investor-Inputs'!$G$19 * Q263) + ('Investor-Inputs'!$J$19 * R263) + ('Investor-Inputs'!$N$19 * S263)</f>
        <v>42.125999999999998</v>
      </c>
      <c r="U263" s="27">
        <f t="shared" si="15"/>
        <v>303</v>
      </c>
    </row>
    <row r="264" spans="3:21" x14ac:dyDescent="0.25">
      <c r="C264" s="2" t="s">
        <v>310</v>
      </c>
      <c r="D264" s="2">
        <v>5</v>
      </c>
      <c r="E264" s="2" t="s">
        <v>14</v>
      </c>
      <c r="F264" s="2" t="s">
        <v>309</v>
      </c>
      <c r="G264" s="3">
        <v>7.32</v>
      </c>
      <c r="H264" s="3">
        <v>5.76</v>
      </c>
      <c r="I264" s="3">
        <v>11</v>
      </c>
      <c r="J264" s="3">
        <v>8.67</v>
      </c>
      <c r="K264" s="3">
        <v>9.34</v>
      </c>
      <c r="L264" s="21">
        <v>9.18</v>
      </c>
      <c r="M264" s="3">
        <v>2.1</v>
      </c>
      <c r="N264" s="2" t="s">
        <v>171</v>
      </c>
      <c r="O264" s="4" t="s">
        <v>17</v>
      </c>
      <c r="P264" s="18" t="s">
        <v>18</v>
      </c>
      <c r="Q264" s="5">
        <f t="shared" ref="Q264:Q327" si="16">I264*0.4+K264*0.5</f>
        <v>9.07</v>
      </c>
      <c r="R264" s="5">
        <f t="shared" ref="R264:R327" si="17">(L264+J264)/2</f>
        <v>8.9250000000000007</v>
      </c>
      <c r="S264" s="5">
        <f t="shared" ref="S264:S327" si="18">(M264+K264)/2</f>
        <v>5.72</v>
      </c>
      <c r="T264" s="23">
        <f>('Investor-Inputs'!$G$19 * Q264) + ('Investor-Inputs'!$J$19 * R264) + ('Investor-Inputs'!$N$19 * S264)</f>
        <v>50.78</v>
      </c>
      <c r="U264" s="27">
        <f t="shared" ref="U264:U327" si="19">_xlfn.RANK.EQ(T264,$T$7:$T$592,0)</f>
        <v>279</v>
      </c>
    </row>
    <row r="265" spans="3:21" x14ac:dyDescent="0.25">
      <c r="C265" s="2" t="s">
        <v>311</v>
      </c>
      <c r="D265" s="2">
        <v>4</v>
      </c>
      <c r="E265" s="2" t="s">
        <v>14</v>
      </c>
      <c r="F265" s="2" t="s">
        <v>309</v>
      </c>
      <c r="G265" s="3">
        <v>12.29</v>
      </c>
      <c r="H265" s="3">
        <v>10.69</v>
      </c>
      <c r="I265" s="3">
        <v>13.62</v>
      </c>
      <c r="J265" s="3">
        <v>10.62</v>
      </c>
      <c r="K265" s="3">
        <v>11.46</v>
      </c>
      <c r="L265" s="21">
        <v>11.25</v>
      </c>
      <c r="M265" s="3">
        <v>5.53</v>
      </c>
      <c r="N265" s="2" t="s">
        <v>242</v>
      </c>
      <c r="O265" s="4" t="s">
        <v>28</v>
      </c>
      <c r="P265" s="18" t="s">
        <v>18</v>
      </c>
      <c r="Q265" s="5">
        <f t="shared" si="16"/>
        <v>11.178000000000001</v>
      </c>
      <c r="R265" s="5">
        <f t="shared" si="17"/>
        <v>10.934999999999999</v>
      </c>
      <c r="S265" s="5">
        <f t="shared" si="18"/>
        <v>8.495000000000001</v>
      </c>
      <c r="T265" s="23">
        <f>('Investor-Inputs'!$G$19 * Q265) + ('Investor-Inputs'!$J$19 * R265) + ('Investor-Inputs'!$N$19 * S265)</f>
        <v>63.899000000000001</v>
      </c>
      <c r="U265" s="27">
        <f t="shared" si="19"/>
        <v>216</v>
      </c>
    </row>
    <row r="266" spans="3:21" x14ac:dyDescent="0.25">
      <c r="C266" s="2" t="s">
        <v>312</v>
      </c>
      <c r="D266" s="2">
        <v>5</v>
      </c>
      <c r="E266" s="2" t="s">
        <v>14</v>
      </c>
      <c r="F266" s="2" t="s">
        <v>309</v>
      </c>
      <c r="G266" s="3">
        <v>3.8</v>
      </c>
      <c r="H266" s="3">
        <v>1.42</v>
      </c>
      <c r="I266" s="3">
        <v>7.8</v>
      </c>
      <c r="J266" s="3">
        <v>5.72</v>
      </c>
      <c r="K266" s="3">
        <v>7.48</v>
      </c>
      <c r="L266" s="21">
        <v>6.84</v>
      </c>
      <c r="M266" s="3">
        <v>5.28</v>
      </c>
      <c r="N266" s="2" t="s">
        <v>171</v>
      </c>
      <c r="O266" s="4" t="s">
        <v>110</v>
      </c>
      <c r="P266" s="18" t="s">
        <v>18</v>
      </c>
      <c r="Q266" s="5">
        <f t="shared" si="16"/>
        <v>6.86</v>
      </c>
      <c r="R266" s="5">
        <f t="shared" si="17"/>
        <v>6.2799999999999994</v>
      </c>
      <c r="S266" s="5">
        <f t="shared" si="18"/>
        <v>6.3800000000000008</v>
      </c>
      <c r="T266" s="23">
        <f>('Investor-Inputs'!$G$19 * Q266) + ('Investor-Inputs'!$J$19 * R266) + ('Investor-Inputs'!$N$19 * S266)</f>
        <v>39.520000000000003</v>
      </c>
      <c r="U266" s="27">
        <f t="shared" si="19"/>
        <v>327</v>
      </c>
    </row>
    <row r="267" spans="3:21" x14ac:dyDescent="0.25">
      <c r="C267" s="2" t="s">
        <v>313</v>
      </c>
      <c r="D267" s="2">
        <v>4</v>
      </c>
      <c r="E267" s="2" t="s">
        <v>14</v>
      </c>
      <c r="F267" s="2" t="s">
        <v>309</v>
      </c>
      <c r="G267" s="3">
        <v>6.5</v>
      </c>
      <c r="H267" s="3">
        <v>4.74</v>
      </c>
      <c r="I267" s="3">
        <v>10.74</v>
      </c>
      <c r="J267" s="3">
        <v>7.65</v>
      </c>
      <c r="K267" s="3">
        <v>10.039999999999999</v>
      </c>
      <c r="L267" s="21">
        <v>9.17</v>
      </c>
      <c r="M267" s="3">
        <v>1.8</v>
      </c>
      <c r="N267" s="2" t="s">
        <v>242</v>
      </c>
      <c r="O267" s="4" t="s">
        <v>28</v>
      </c>
      <c r="P267" s="18" t="s">
        <v>18</v>
      </c>
      <c r="Q267" s="5">
        <f t="shared" si="16"/>
        <v>9.3159999999999989</v>
      </c>
      <c r="R267" s="5">
        <f t="shared" si="17"/>
        <v>8.41</v>
      </c>
      <c r="S267" s="5">
        <f t="shared" si="18"/>
        <v>5.92</v>
      </c>
      <c r="T267" s="23">
        <f>('Investor-Inputs'!$G$19 * Q267) + ('Investor-Inputs'!$J$19 * R267) + ('Investor-Inputs'!$N$19 * S267)</f>
        <v>50.688000000000002</v>
      </c>
      <c r="U267" s="27">
        <f t="shared" si="19"/>
        <v>281</v>
      </c>
    </row>
    <row r="268" spans="3:21" x14ac:dyDescent="0.25">
      <c r="C268" s="2" t="s">
        <v>314</v>
      </c>
      <c r="D268" s="2">
        <v>4</v>
      </c>
      <c r="E268" s="2" t="s">
        <v>14</v>
      </c>
      <c r="F268" s="2" t="s">
        <v>309</v>
      </c>
      <c r="G268" s="3">
        <v>3.81</v>
      </c>
      <c r="H268" s="3">
        <v>2.31</v>
      </c>
      <c r="I268" s="3">
        <v>9.5399999999999991</v>
      </c>
      <c r="J268" s="3">
        <v>6.36</v>
      </c>
      <c r="K268" s="3">
        <v>9.23</v>
      </c>
      <c r="L268" s="21">
        <v>8.16</v>
      </c>
      <c r="M268" s="3">
        <v>1.72</v>
      </c>
      <c r="N268" s="2" t="s">
        <v>242</v>
      </c>
      <c r="O268" s="4" t="s">
        <v>17</v>
      </c>
      <c r="P268" s="18" t="s">
        <v>18</v>
      </c>
      <c r="Q268" s="5">
        <f t="shared" si="16"/>
        <v>8.4310000000000009</v>
      </c>
      <c r="R268" s="5">
        <f t="shared" si="17"/>
        <v>7.26</v>
      </c>
      <c r="S268" s="5">
        <f t="shared" si="18"/>
        <v>5.4750000000000005</v>
      </c>
      <c r="T268" s="23">
        <f>('Investor-Inputs'!$G$19 * Q268) + ('Investor-Inputs'!$J$19 * R268) + ('Investor-Inputs'!$N$19 * S268)</f>
        <v>45.288000000000004</v>
      </c>
      <c r="U268" s="27">
        <f t="shared" si="19"/>
        <v>293</v>
      </c>
    </row>
    <row r="269" spans="3:21" x14ac:dyDescent="0.25">
      <c r="C269" s="2" t="s">
        <v>315</v>
      </c>
      <c r="D269" s="2">
        <v>4</v>
      </c>
      <c r="E269" s="2" t="s">
        <v>14</v>
      </c>
      <c r="F269" s="2" t="s">
        <v>316</v>
      </c>
      <c r="G269" s="3">
        <v>5.78</v>
      </c>
      <c r="H269" s="3">
        <v>5.82</v>
      </c>
      <c r="I269" s="3">
        <v>6.87</v>
      </c>
      <c r="J269" s="3">
        <v>6.55</v>
      </c>
      <c r="K269" s="3">
        <v>5.89</v>
      </c>
      <c r="L269" s="21">
        <v>6.44</v>
      </c>
      <c r="M269" s="3">
        <v>1.81</v>
      </c>
      <c r="N269" s="2" t="s">
        <v>229</v>
      </c>
      <c r="O269" s="4" t="s">
        <v>17</v>
      </c>
      <c r="P269" s="18" t="s">
        <v>18</v>
      </c>
      <c r="Q269" s="5">
        <f t="shared" si="16"/>
        <v>5.6929999999999996</v>
      </c>
      <c r="R269" s="5">
        <f t="shared" si="17"/>
        <v>6.4950000000000001</v>
      </c>
      <c r="S269" s="5">
        <f t="shared" si="18"/>
        <v>3.8499999999999996</v>
      </c>
      <c r="T269" s="23">
        <f>('Investor-Inputs'!$G$19 * Q269) + ('Investor-Inputs'!$J$19 * R269) + ('Investor-Inputs'!$N$19 * S269)</f>
        <v>33.919000000000004</v>
      </c>
      <c r="U269" s="27">
        <f t="shared" si="19"/>
        <v>436</v>
      </c>
    </row>
    <row r="270" spans="3:21" x14ac:dyDescent="0.25">
      <c r="C270" s="2" t="s">
        <v>317</v>
      </c>
      <c r="D270" s="2">
        <v>4</v>
      </c>
      <c r="E270" s="2" t="s">
        <v>14</v>
      </c>
      <c r="F270" s="2" t="s">
        <v>316</v>
      </c>
      <c r="G270" s="3">
        <v>5.77</v>
      </c>
      <c r="H270" s="3">
        <v>5.85</v>
      </c>
      <c r="I270" s="3">
        <v>6.81</v>
      </c>
      <c r="J270" s="3">
        <v>6.53</v>
      </c>
      <c r="K270" s="3">
        <v>5.9</v>
      </c>
      <c r="L270" s="21">
        <v>6.4</v>
      </c>
      <c r="M270" s="3">
        <v>2.5099999999999998</v>
      </c>
      <c r="N270" s="2" t="s">
        <v>229</v>
      </c>
      <c r="O270" s="4" t="s">
        <v>24</v>
      </c>
      <c r="P270" s="18" t="s">
        <v>18</v>
      </c>
      <c r="Q270" s="5">
        <f t="shared" si="16"/>
        <v>5.6740000000000004</v>
      </c>
      <c r="R270" s="5">
        <f t="shared" si="17"/>
        <v>6.4649999999999999</v>
      </c>
      <c r="S270" s="5">
        <f t="shared" si="18"/>
        <v>4.2050000000000001</v>
      </c>
      <c r="T270" s="23">
        <f>('Investor-Inputs'!$G$19 * Q270) + ('Investor-Inputs'!$J$19 * R270) + ('Investor-Inputs'!$N$19 * S270)</f>
        <v>34.157000000000004</v>
      </c>
      <c r="U270" s="27">
        <f t="shared" si="19"/>
        <v>416</v>
      </c>
    </row>
    <row r="271" spans="3:21" x14ac:dyDescent="0.25">
      <c r="C271" s="2" t="s">
        <v>318</v>
      </c>
      <c r="D271" s="2">
        <v>4</v>
      </c>
      <c r="E271" s="2" t="s">
        <v>14</v>
      </c>
      <c r="F271" s="2" t="s">
        <v>316</v>
      </c>
      <c r="G271" s="3">
        <v>5.84</v>
      </c>
      <c r="H271" s="3">
        <v>5.92</v>
      </c>
      <c r="I271" s="3">
        <v>6.92</v>
      </c>
      <c r="J271" s="3">
        <v>6.6</v>
      </c>
      <c r="K271" s="3">
        <v>5.93</v>
      </c>
      <c r="L271" s="21">
        <v>6.49</v>
      </c>
      <c r="M271" s="3">
        <v>7.31</v>
      </c>
      <c r="N271" s="2" t="s">
        <v>229</v>
      </c>
      <c r="O271" s="4" t="s">
        <v>17</v>
      </c>
      <c r="P271" s="18" t="s">
        <v>18</v>
      </c>
      <c r="Q271" s="5">
        <f t="shared" si="16"/>
        <v>5.7330000000000005</v>
      </c>
      <c r="R271" s="5">
        <f t="shared" si="17"/>
        <v>6.5449999999999999</v>
      </c>
      <c r="S271" s="5">
        <f t="shared" si="18"/>
        <v>6.6199999999999992</v>
      </c>
      <c r="T271" s="23">
        <f>('Investor-Inputs'!$G$19 * Q271) + ('Investor-Inputs'!$J$19 * R271) + ('Investor-Inputs'!$N$19 * S271)</f>
        <v>36.908999999999999</v>
      </c>
      <c r="U271" s="27">
        <f t="shared" si="19"/>
        <v>343</v>
      </c>
    </row>
    <row r="272" spans="3:21" x14ac:dyDescent="0.25">
      <c r="C272" s="2" t="s">
        <v>319</v>
      </c>
      <c r="D272" s="2">
        <v>4</v>
      </c>
      <c r="E272" s="2" t="s">
        <v>14</v>
      </c>
      <c r="F272" s="2" t="s">
        <v>316</v>
      </c>
      <c r="G272" s="3">
        <v>5.84</v>
      </c>
      <c r="H272" s="3">
        <v>5.91</v>
      </c>
      <c r="I272" s="3">
        <v>6.92</v>
      </c>
      <c r="J272" s="3">
        <v>6.61</v>
      </c>
      <c r="K272" s="3">
        <v>5.97</v>
      </c>
      <c r="L272" s="21">
        <v>6.5</v>
      </c>
      <c r="M272" s="3">
        <v>4.6500000000000004</v>
      </c>
      <c r="N272" s="2" t="s">
        <v>229</v>
      </c>
      <c r="O272" s="4" t="s">
        <v>17</v>
      </c>
      <c r="P272" s="18" t="s">
        <v>18</v>
      </c>
      <c r="Q272" s="5">
        <f t="shared" si="16"/>
        <v>5.7530000000000001</v>
      </c>
      <c r="R272" s="5">
        <f t="shared" si="17"/>
        <v>6.5549999999999997</v>
      </c>
      <c r="S272" s="5">
        <f t="shared" si="18"/>
        <v>5.3100000000000005</v>
      </c>
      <c r="T272" s="23">
        <f>('Investor-Inputs'!$G$19 * Q272) + ('Investor-Inputs'!$J$19 * R272) + ('Investor-Inputs'!$N$19 * S272)</f>
        <v>35.679000000000002</v>
      </c>
      <c r="U272" s="27">
        <f t="shared" si="19"/>
        <v>369</v>
      </c>
    </row>
    <row r="273" spans="3:21" x14ac:dyDescent="0.25">
      <c r="C273" s="2" t="s">
        <v>320</v>
      </c>
      <c r="D273" s="2">
        <v>5</v>
      </c>
      <c r="E273" s="2" t="s">
        <v>14</v>
      </c>
      <c r="F273" s="2" t="s">
        <v>316</v>
      </c>
      <c r="G273" s="3">
        <v>5.9</v>
      </c>
      <c r="H273" s="3">
        <v>5.95</v>
      </c>
      <c r="I273" s="3">
        <v>6.96</v>
      </c>
      <c r="J273" s="3">
        <v>6.62</v>
      </c>
      <c r="K273" s="3">
        <v>6.15</v>
      </c>
      <c r="L273" s="21">
        <v>6.62</v>
      </c>
      <c r="M273" s="3">
        <v>3.97</v>
      </c>
      <c r="N273" s="2" t="s">
        <v>229</v>
      </c>
      <c r="O273" s="4" t="s">
        <v>17</v>
      </c>
      <c r="P273" s="18" t="s">
        <v>18</v>
      </c>
      <c r="Q273" s="5">
        <f t="shared" si="16"/>
        <v>5.859</v>
      </c>
      <c r="R273" s="5">
        <f t="shared" si="17"/>
        <v>6.62</v>
      </c>
      <c r="S273" s="5">
        <f t="shared" si="18"/>
        <v>5.0600000000000005</v>
      </c>
      <c r="T273" s="23">
        <f>('Investor-Inputs'!$G$19 * Q273) + ('Investor-Inputs'!$J$19 * R273) + ('Investor-Inputs'!$N$19 * S273)</f>
        <v>35.877000000000002</v>
      </c>
      <c r="U273" s="27">
        <f t="shared" si="19"/>
        <v>357</v>
      </c>
    </row>
    <row r="274" spans="3:21" x14ac:dyDescent="0.25">
      <c r="C274" s="2" t="s">
        <v>321</v>
      </c>
      <c r="D274" s="2">
        <v>4</v>
      </c>
      <c r="E274" s="2" t="s">
        <v>14</v>
      </c>
      <c r="F274" s="2" t="s">
        <v>316</v>
      </c>
      <c r="G274" s="3">
        <v>5.85</v>
      </c>
      <c r="H274" s="3">
        <v>5.94</v>
      </c>
      <c r="I274" s="3">
        <v>7.06</v>
      </c>
      <c r="J274" s="3">
        <v>6.69</v>
      </c>
      <c r="K274" s="3">
        <v>6.14</v>
      </c>
      <c r="L274" s="21">
        <v>6.64</v>
      </c>
      <c r="M274" s="3">
        <v>3.34</v>
      </c>
      <c r="N274" s="2" t="s">
        <v>229</v>
      </c>
      <c r="O274" s="4" t="s">
        <v>28</v>
      </c>
      <c r="P274" s="18" t="s">
        <v>18</v>
      </c>
      <c r="Q274" s="5">
        <f t="shared" si="16"/>
        <v>5.8940000000000001</v>
      </c>
      <c r="R274" s="5">
        <f t="shared" si="17"/>
        <v>6.665</v>
      </c>
      <c r="S274" s="5">
        <f t="shared" si="18"/>
        <v>4.74</v>
      </c>
      <c r="T274" s="23">
        <f>('Investor-Inputs'!$G$19 * Q274) + ('Investor-Inputs'!$J$19 * R274) + ('Investor-Inputs'!$N$19 * S274)</f>
        <v>35.752000000000002</v>
      </c>
      <c r="U274" s="27">
        <f t="shared" si="19"/>
        <v>361</v>
      </c>
    </row>
    <row r="275" spans="3:21" x14ac:dyDescent="0.25">
      <c r="C275" s="2" t="s">
        <v>322</v>
      </c>
      <c r="D275" s="2">
        <v>5</v>
      </c>
      <c r="E275" s="2" t="s">
        <v>14</v>
      </c>
      <c r="F275" s="2" t="s">
        <v>316</v>
      </c>
      <c r="G275" s="3">
        <v>5.95</v>
      </c>
      <c r="H275" s="3">
        <v>5.93</v>
      </c>
      <c r="I275" s="3">
        <v>6.99</v>
      </c>
      <c r="J275" s="3">
        <v>6.63</v>
      </c>
      <c r="K275" s="3">
        <v>6.15</v>
      </c>
      <c r="L275" s="21">
        <v>6.61</v>
      </c>
      <c r="M275" s="3">
        <v>2.3199999999999998</v>
      </c>
      <c r="N275" s="2" t="s">
        <v>229</v>
      </c>
      <c r="O275" s="4" t="s">
        <v>28</v>
      </c>
      <c r="P275" s="18" t="s">
        <v>18</v>
      </c>
      <c r="Q275" s="5">
        <f t="shared" si="16"/>
        <v>5.8710000000000004</v>
      </c>
      <c r="R275" s="5">
        <f t="shared" si="17"/>
        <v>6.62</v>
      </c>
      <c r="S275" s="5">
        <f t="shared" si="18"/>
        <v>4.2350000000000003</v>
      </c>
      <c r="T275" s="23">
        <f>('Investor-Inputs'!$G$19 * Q275) + ('Investor-Inputs'!$J$19 * R275) + ('Investor-Inputs'!$N$19 * S275)</f>
        <v>35.088000000000001</v>
      </c>
      <c r="U275" s="27">
        <f t="shared" si="19"/>
        <v>391</v>
      </c>
    </row>
    <row r="276" spans="3:21" x14ac:dyDescent="0.25">
      <c r="C276" s="2" t="s">
        <v>323</v>
      </c>
      <c r="D276" s="2">
        <v>4</v>
      </c>
      <c r="E276" s="2" t="s">
        <v>14</v>
      </c>
      <c r="F276" s="2" t="s">
        <v>316</v>
      </c>
      <c r="G276" s="3">
        <v>5.84</v>
      </c>
      <c r="H276" s="3">
        <v>5.89</v>
      </c>
      <c r="I276" s="3">
        <v>6.85</v>
      </c>
      <c r="J276" s="3">
        <v>6.56</v>
      </c>
      <c r="K276" s="3">
        <v>5.86</v>
      </c>
      <c r="L276" s="21">
        <v>6.43</v>
      </c>
      <c r="M276" s="3">
        <v>1.91</v>
      </c>
      <c r="N276" s="2" t="s">
        <v>229</v>
      </c>
      <c r="O276" s="4" t="s">
        <v>24</v>
      </c>
      <c r="P276" s="18" t="s">
        <v>18</v>
      </c>
      <c r="Q276" s="5">
        <f t="shared" si="16"/>
        <v>5.67</v>
      </c>
      <c r="R276" s="5">
        <f t="shared" si="17"/>
        <v>6.4949999999999992</v>
      </c>
      <c r="S276" s="5">
        <f t="shared" si="18"/>
        <v>3.8850000000000002</v>
      </c>
      <c r="T276" s="23">
        <f>('Investor-Inputs'!$G$19 * Q276) + ('Investor-Inputs'!$J$19 * R276) + ('Investor-Inputs'!$N$19 * S276)</f>
        <v>33.884999999999998</v>
      </c>
      <c r="U276" s="27">
        <f t="shared" si="19"/>
        <v>438</v>
      </c>
    </row>
    <row r="277" spans="3:21" x14ac:dyDescent="0.25">
      <c r="C277" s="2" t="s">
        <v>324</v>
      </c>
      <c r="D277" s="2">
        <v>4</v>
      </c>
      <c r="E277" s="2" t="s">
        <v>14</v>
      </c>
      <c r="F277" s="2" t="s">
        <v>316</v>
      </c>
      <c r="G277" s="3">
        <v>5.89</v>
      </c>
      <c r="H277" s="3">
        <v>5.93</v>
      </c>
      <c r="I277" s="3">
        <v>7</v>
      </c>
      <c r="J277" s="3">
        <v>6.68</v>
      </c>
      <c r="K277" s="3">
        <v>5.98</v>
      </c>
      <c r="L277" s="21">
        <v>6.54</v>
      </c>
      <c r="M277" s="3">
        <v>2.38</v>
      </c>
      <c r="N277" s="2" t="s">
        <v>229</v>
      </c>
      <c r="O277" s="4" t="s">
        <v>17</v>
      </c>
      <c r="P277" s="18" t="s">
        <v>18</v>
      </c>
      <c r="Q277" s="5">
        <f t="shared" si="16"/>
        <v>5.7900000000000009</v>
      </c>
      <c r="R277" s="5">
        <f t="shared" si="17"/>
        <v>6.6099999999999994</v>
      </c>
      <c r="S277" s="5">
        <f t="shared" si="18"/>
        <v>4.18</v>
      </c>
      <c r="T277" s="23">
        <f>('Investor-Inputs'!$G$19 * Q277) + ('Investor-Inputs'!$J$19 * R277) + ('Investor-Inputs'!$N$19 * S277)</f>
        <v>34.770000000000003</v>
      </c>
      <c r="U277" s="27">
        <f t="shared" si="19"/>
        <v>403</v>
      </c>
    </row>
    <row r="278" spans="3:21" x14ac:dyDescent="0.25">
      <c r="C278" s="2" t="s">
        <v>325</v>
      </c>
      <c r="D278" s="2">
        <v>4</v>
      </c>
      <c r="E278" s="2" t="s">
        <v>14</v>
      </c>
      <c r="F278" s="2" t="s">
        <v>326</v>
      </c>
      <c r="G278" s="3">
        <v>5.18</v>
      </c>
      <c r="H278" s="3">
        <v>3.19</v>
      </c>
      <c r="I278" s="3">
        <v>12.25</v>
      </c>
      <c r="J278" s="3">
        <v>8.42</v>
      </c>
      <c r="K278" s="3">
        <v>10.36</v>
      </c>
      <c r="L278" s="21">
        <v>9.7899999999999991</v>
      </c>
      <c r="M278" s="3">
        <v>1.76</v>
      </c>
      <c r="N278" s="2" t="s">
        <v>16</v>
      </c>
      <c r="O278" s="4" t="s">
        <v>17</v>
      </c>
      <c r="P278" s="18" t="s">
        <v>18</v>
      </c>
      <c r="Q278" s="5">
        <f t="shared" si="16"/>
        <v>10.08</v>
      </c>
      <c r="R278" s="5">
        <f t="shared" si="17"/>
        <v>9.1050000000000004</v>
      </c>
      <c r="S278" s="5">
        <f t="shared" si="18"/>
        <v>6.06</v>
      </c>
      <c r="T278" s="23">
        <f>('Investor-Inputs'!$G$19 * Q278) + ('Investor-Inputs'!$J$19 * R278) + ('Investor-Inputs'!$N$19 * S278)</f>
        <v>54.510000000000005</v>
      </c>
      <c r="U278" s="27">
        <f t="shared" si="19"/>
        <v>271</v>
      </c>
    </row>
    <row r="279" spans="3:21" x14ac:dyDescent="0.25">
      <c r="C279" s="2" t="s">
        <v>327</v>
      </c>
      <c r="D279" s="2">
        <v>4</v>
      </c>
      <c r="E279" s="2" t="s">
        <v>14</v>
      </c>
      <c r="F279" s="2" t="s">
        <v>326</v>
      </c>
      <c r="G279" s="3">
        <v>2.09</v>
      </c>
      <c r="H279" s="3">
        <v>-0.09</v>
      </c>
      <c r="I279" s="3">
        <v>13.22</v>
      </c>
      <c r="J279" s="3">
        <v>7.52</v>
      </c>
      <c r="K279" s="3">
        <v>10.67</v>
      </c>
      <c r="L279" s="21">
        <v>9.59</v>
      </c>
      <c r="M279" s="3">
        <v>1.93</v>
      </c>
      <c r="N279" s="2" t="s">
        <v>16</v>
      </c>
      <c r="O279" s="4" t="s">
        <v>17</v>
      </c>
      <c r="P279" s="18" t="s">
        <v>18</v>
      </c>
      <c r="Q279" s="5">
        <f t="shared" si="16"/>
        <v>10.623000000000001</v>
      </c>
      <c r="R279" s="5">
        <f t="shared" si="17"/>
        <v>8.5549999999999997</v>
      </c>
      <c r="S279" s="5">
        <f t="shared" si="18"/>
        <v>6.3</v>
      </c>
      <c r="T279" s="23">
        <f>('Investor-Inputs'!$G$19 * Q279) + ('Investor-Inputs'!$J$19 * R279) + ('Investor-Inputs'!$N$19 * S279)</f>
        <v>55.278999999999996</v>
      </c>
      <c r="U279" s="27">
        <f t="shared" si="19"/>
        <v>266</v>
      </c>
    </row>
    <row r="280" spans="3:21" x14ac:dyDescent="0.25">
      <c r="C280" s="2" t="s">
        <v>328</v>
      </c>
      <c r="D280" s="2">
        <v>4</v>
      </c>
      <c r="E280" s="2" t="s">
        <v>14</v>
      </c>
      <c r="F280" s="2" t="s">
        <v>326</v>
      </c>
      <c r="G280" s="3">
        <v>4.2699999999999996</v>
      </c>
      <c r="H280" s="3">
        <v>1.9</v>
      </c>
      <c r="I280" s="3">
        <v>11.58</v>
      </c>
      <c r="J280" s="3">
        <v>7.54</v>
      </c>
      <c r="K280" s="3">
        <v>8.5299999999999994</v>
      </c>
      <c r="L280" s="21">
        <v>8.65</v>
      </c>
      <c r="M280" s="3">
        <v>1.93</v>
      </c>
      <c r="N280" s="2" t="s">
        <v>242</v>
      </c>
      <c r="O280" s="4" t="s">
        <v>24</v>
      </c>
      <c r="P280" s="18" t="s">
        <v>18</v>
      </c>
      <c r="Q280" s="5">
        <f t="shared" si="16"/>
        <v>8.8970000000000002</v>
      </c>
      <c r="R280" s="5">
        <f t="shared" si="17"/>
        <v>8.0950000000000006</v>
      </c>
      <c r="S280" s="5">
        <f t="shared" si="18"/>
        <v>5.2299999999999995</v>
      </c>
      <c r="T280" s="23">
        <f>('Investor-Inputs'!$G$19 * Q280) + ('Investor-Inputs'!$J$19 * R280) + ('Investor-Inputs'!$N$19 * S280)</f>
        <v>48.110999999999997</v>
      </c>
      <c r="U280" s="27">
        <f t="shared" si="19"/>
        <v>285</v>
      </c>
    </row>
    <row r="281" spans="3:21" x14ac:dyDescent="0.25">
      <c r="C281" s="2" t="s">
        <v>329</v>
      </c>
      <c r="D281" s="2">
        <v>4</v>
      </c>
      <c r="E281" s="2" t="s">
        <v>14</v>
      </c>
      <c r="F281" s="2" t="s">
        <v>326</v>
      </c>
      <c r="G281" s="3">
        <v>1.02</v>
      </c>
      <c r="H281" s="3">
        <v>-1.96</v>
      </c>
      <c r="I281" s="3">
        <v>11.51</v>
      </c>
      <c r="J281" s="3">
        <v>5.6</v>
      </c>
      <c r="K281" s="2"/>
      <c r="L281" s="20"/>
      <c r="M281" s="3">
        <v>2.14</v>
      </c>
      <c r="N281" s="2" t="s">
        <v>16</v>
      </c>
      <c r="O281" s="4" t="s">
        <v>24</v>
      </c>
      <c r="P281" s="18" t="s">
        <v>18</v>
      </c>
      <c r="Q281" s="5">
        <f t="shared" si="16"/>
        <v>4.6040000000000001</v>
      </c>
      <c r="R281" s="5">
        <f t="shared" si="17"/>
        <v>2.8</v>
      </c>
      <c r="S281" s="5">
        <f t="shared" si="18"/>
        <v>1.07</v>
      </c>
      <c r="T281" s="23">
        <f>('Investor-Inputs'!$G$19 * Q281) + ('Investor-Inputs'!$J$19 * R281) + ('Investor-Inputs'!$N$19 * S281)</f>
        <v>20.481999999999999</v>
      </c>
      <c r="U281" s="27">
        <f t="shared" si="19"/>
        <v>577</v>
      </c>
    </row>
    <row r="282" spans="3:21" x14ac:dyDescent="0.25">
      <c r="C282" s="2" t="s">
        <v>330</v>
      </c>
      <c r="D282" s="2">
        <v>5</v>
      </c>
      <c r="E282" s="2" t="s">
        <v>14</v>
      </c>
      <c r="F282" s="2" t="s">
        <v>326</v>
      </c>
      <c r="G282" s="3">
        <v>1.21</v>
      </c>
      <c r="H282" s="3">
        <v>-1.56</v>
      </c>
      <c r="I282" s="3">
        <v>11.76</v>
      </c>
      <c r="J282" s="3">
        <v>5.71</v>
      </c>
      <c r="K282" s="3">
        <v>13.24</v>
      </c>
      <c r="L282" s="21">
        <v>9.25</v>
      </c>
      <c r="M282" s="3">
        <v>1.99</v>
      </c>
      <c r="N282" s="2" t="s">
        <v>28</v>
      </c>
      <c r="O282" s="4" t="s">
        <v>28</v>
      </c>
      <c r="P282" s="18" t="s">
        <v>18</v>
      </c>
      <c r="Q282" s="5">
        <f t="shared" si="16"/>
        <v>11.324</v>
      </c>
      <c r="R282" s="5">
        <f t="shared" si="17"/>
        <v>7.48</v>
      </c>
      <c r="S282" s="5">
        <f t="shared" si="18"/>
        <v>7.6150000000000002</v>
      </c>
      <c r="T282" s="23">
        <f>('Investor-Inputs'!$G$19 * Q282) + ('Investor-Inputs'!$J$19 * R282) + ('Investor-Inputs'!$N$19 * S282)</f>
        <v>56.547000000000004</v>
      </c>
      <c r="U282" s="27">
        <f t="shared" si="19"/>
        <v>252</v>
      </c>
    </row>
    <row r="283" spans="3:21" x14ac:dyDescent="0.25">
      <c r="C283" s="2" t="s">
        <v>331</v>
      </c>
      <c r="D283" s="2">
        <v>5</v>
      </c>
      <c r="E283" s="2" t="s">
        <v>14</v>
      </c>
      <c r="F283" s="2" t="s">
        <v>326</v>
      </c>
      <c r="G283" s="3">
        <v>2.52</v>
      </c>
      <c r="H283" s="3">
        <v>-1.1299999999999999</v>
      </c>
      <c r="I283" s="3">
        <v>15.39</v>
      </c>
      <c r="J283" s="3">
        <v>7.48</v>
      </c>
      <c r="K283" s="3">
        <v>17.03</v>
      </c>
      <c r="L283" s="21">
        <v>13.08</v>
      </c>
      <c r="M283" s="3">
        <v>1.27</v>
      </c>
      <c r="N283" s="2" t="s">
        <v>16</v>
      </c>
      <c r="O283" s="4" t="s">
        <v>28</v>
      </c>
      <c r="P283" s="18" t="s">
        <v>18</v>
      </c>
      <c r="Q283" s="5">
        <f t="shared" si="16"/>
        <v>14.671000000000001</v>
      </c>
      <c r="R283" s="5">
        <f t="shared" si="17"/>
        <v>10.280000000000001</v>
      </c>
      <c r="S283" s="5">
        <f t="shared" si="18"/>
        <v>9.15</v>
      </c>
      <c r="T283" s="23">
        <f>('Investor-Inputs'!$G$19 * Q283) + ('Investor-Inputs'!$J$19 * R283) + ('Investor-Inputs'!$N$19 * S283)</f>
        <v>73.723000000000013</v>
      </c>
      <c r="U283" s="27">
        <f t="shared" si="19"/>
        <v>172</v>
      </c>
    </row>
    <row r="284" spans="3:21" x14ac:dyDescent="0.25">
      <c r="C284" s="2" t="s">
        <v>332</v>
      </c>
      <c r="D284" s="2">
        <v>4</v>
      </c>
      <c r="E284" s="2" t="s">
        <v>14</v>
      </c>
      <c r="F284" s="2" t="s">
        <v>326</v>
      </c>
      <c r="G284" s="3">
        <v>5.82</v>
      </c>
      <c r="H284" s="3">
        <v>2.13</v>
      </c>
      <c r="I284" s="3">
        <v>12.19</v>
      </c>
      <c r="J284" s="3">
        <v>8.4499999999999993</v>
      </c>
      <c r="K284" s="3">
        <v>11.2</v>
      </c>
      <c r="L284" s="21">
        <v>10.19</v>
      </c>
      <c r="M284" s="3">
        <v>2.19</v>
      </c>
      <c r="N284" s="2" t="s">
        <v>16</v>
      </c>
      <c r="O284" s="4" t="s">
        <v>17</v>
      </c>
      <c r="P284" s="18" t="s">
        <v>18</v>
      </c>
      <c r="Q284" s="5">
        <f t="shared" si="16"/>
        <v>10.475999999999999</v>
      </c>
      <c r="R284" s="5">
        <f t="shared" si="17"/>
        <v>9.32</v>
      </c>
      <c r="S284" s="5">
        <f t="shared" si="18"/>
        <v>6.6949999999999994</v>
      </c>
      <c r="T284" s="23">
        <f>('Investor-Inputs'!$G$19 * Q284) + ('Investor-Inputs'!$J$19 * R284) + ('Investor-Inputs'!$N$19 * S284)</f>
        <v>56.762999999999998</v>
      </c>
      <c r="U284" s="27">
        <f t="shared" si="19"/>
        <v>248</v>
      </c>
    </row>
    <row r="285" spans="3:21" x14ac:dyDescent="0.25">
      <c r="C285" s="2" t="s">
        <v>333</v>
      </c>
      <c r="D285" s="2">
        <v>4</v>
      </c>
      <c r="E285" s="2" t="s">
        <v>14</v>
      </c>
      <c r="F285" s="2" t="s">
        <v>326</v>
      </c>
      <c r="G285" s="3">
        <v>5.2</v>
      </c>
      <c r="H285" s="3">
        <v>2.42</v>
      </c>
      <c r="I285" s="3">
        <v>11.46</v>
      </c>
      <c r="J285" s="3">
        <v>7.27</v>
      </c>
      <c r="K285" s="2"/>
      <c r="L285" s="20"/>
      <c r="M285" s="3">
        <v>2.06</v>
      </c>
      <c r="N285" s="2" t="s">
        <v>16</v>
      </c>
      <c r="O285" s="4" t="s">
        <v>24</v>
      </c>
      <c r="P285" s="18" t="s">
        <v>18</v>
      </c>
      <c r="Q285" s="5">
        <f t="shared" si="16"/>
        <v>4.5840000000000005</v>
      </c>
      <c r="R285" s="5">
        <f t="shared" si="17"/>
        <v>3.6349999999999998</v>
      </c>
      <c r="S285" s="5">
        <f t="shared" si="18"/>
        <v>1.03</v>
      </c>
      <c r="T285" s="23">
        <f>('Investor-Inputs'!$G$19 * Q285) + ('Investor-Inputs'!$J$19 * R285) + ('Investor-Inputs'!$N$19 * S285)</f>
        <v>22.052000000000003</v>
      </c>
      <c r="U285" s="27">
        <f t="shared" si="19"/>
        <v>572</v>
      </c>
    </row>
    <row r="286" spans="3:21" x14ac:dyDescent="0.25">
      <c r="C286" s="2" t="s">
        <v>334</v>
      </c>
      <c r="D286" s="2">
        <v>4</v>
      </c>
      <c r="E286" s="2" t="s">
        <v>14</v>
      </c>
      <c r="F286" s="2" t="s">
        <v>326</v>
      </c>
      <c r="G286" s="3">
        <v>3.58</v>
      </c>
      <c r="H286" s="3">
        <v>1.38</v>
      </c>
      <c r="I286" s="3">
        <v>11.73</v>
      </c>
      <c r="J286" s="3">
        <v>6.97</v>
      </c>
      <c r="K286" s="3">
        <v>10.27</v>
      </c>
      <c r="L286" s="21">
        <v>8.99</v>
      </c>
      <c r="M286" s="3">
        <v>2.37</v>
      </c>
      <c r="N286" s="2" t="s">
        <v>16</v>
      </c>
      <c r="O286" s="4" t="s">
        <v>24</v>
      </c>
      <c r="P286" s="18" t="s">
        <v>18</v>
      </c>
      <c r="Q286" s="5">
        <f t="shared" si="16"/>
        <v>9.827</v>
      </c>
      <c r="R286" s="5">
        <f t="shared" si="17"/>
        <v>7.98</v>
      </c>
      <c r="S286" s="5">
        <f t="shared" si="18"/>
        <v>6.32</v>
      </c>
      <c r="T286" s="23">
        <f>('Investor-Inputs'!$G$19 * Q286) + ('Investor-Inputs'!$J$19 * R286) + ('Investor-Inputs'!$N$19 * S286)</f>
        <v>51.761000000000003</v>
      </c>
      <c r="U286" s="27">
        <f t="shared" si="19"/>
        <v>277</v>
      </c>
    </row>
    <row r="287" spans="3:21" x14ac:dyDescent="0.25">
      <c r="C287" s="2" t="s">
        <v>335</v>
      </c>
      <c r="D287" s="2">
        <v>4</v>
      </c>
      <c r="E287" s="2" t="s">
        <v>14</v>
      </c>
      <c r="F287" s="2" t="s">
        <v>326</v>
      </c>
      <c r="G287" s="3">
        <v>1.19</v>
      </c>
      <c r="H287" s="3">
        <v>-1.41</v>
      </c>
      <c r="I287" s="3">
        <v>16.760000000000002</v>
      </c>
      <c r="J287" s="3">
        <v>6.67</v>
      </c>
      <c r="K287" s="2"/>
      <c r="L287" s="20"/>
      <c r="M287" s="3">
        <v>2.5</v>
      </c>
      <c r="N287" s="2" t="s">
        <v>16</v>
      </c>
      <c r="O287" s="4" t="s">
        <v>28</v>
      </c>
      <c r="P287" s="18" t="s">
        <v>18</v>
      </c>
      <c r="Q287" s="5">
        <f t="shared" si="16"/>
        <v>6.7040000000000006</v>
      </c>
      <c r="R287" s="5">
        <f t="shared" si="17"/>
        <v>3.335</v>
      </c>
      <c r="S287" s="5">
        <f t="shared" si="18"/>
        <v>1.25</v>
      </c>
      <c r="T287" s="23">
        <f>('Investor-Inputs'!$G$19 * Q287) + ('Investor-Inputs'!$J$19 * R287) + ('Investor-Inputs'!$N$19 * S287)</f>
        <v>28.032000000000004</v>
      </c>
      <c r="U287" s="27">
        <f t="shared" si="19"/>
        <v>556</v>
      </c>
    </row>
    <row r="288" spans="3:21" x14ac:dyDescent="0.25">
      <c r="C288" s="2" t="s">
        <v>336</v>
      </c>
      <c r="D288" s="2">
        <v>5</v>
      </c>
      <c r="E288" s="2" t="s">
        <v>14</v>
      </c>
      <c r="F288" s="2" t="s">
        <v>326</v>
      </c>
      <c r="G288" s="3">
        <v>4.83</v>
      </c>
      <c r="H288" s="3">
        <v>2.75</v>
      </c>
      <c r="I288" s="3">
        <v>12.29</v>
      </c>
      <c r="J288" s="3">
        <v>7.89</v>
      </c>
      <c r="K288" s="2"/>
      <c r="L288" s="20"/>
      <c r="M288" s="3">
        <v>1.53</v>
      </c>
      <c r="N288" s="2" t="s">
        <v>16</v>
      </c>
      <c r="O288" s="4" t="s">
        <v>17</v>
      </c>
      <c r="P288" s="18" t="s">
        <v>18</v>
      </c>
      <c r="Q288" s="5">
        <f t="shared" si="16"/>
        <v>4.9160000000000004</v>
      </c>
      <c r="R288" s="5">
        <f t="shared" si="17"/>
        <v>3.9449999999999998</v>
      </c>
      <c r="S288" s="5">
        <f t="shared" si="18"/>
        <v>0.76500000000000001</v>
      </c>
      <c r="T288" s="23">
        <f>('Investor-Inputs'!$G$19 * Q288) + ('Investor-Inputs'!$J$19 * R288) + ('Investor-Inputs'!$N$19 * S288)</f>
        <v>23.403000000000002</v>
      </c>
      <c r="U288" s="27">
        <f t="shared" si="19"/>
        <v>570</v>
      </c>
    </row>
    <row r="289" spans="3:21" x14ac:dyDescent="0.25">
      <c r="C289" s="2" t="s">
        <v>337</v>
      </c>
      <c r="D289" s="2">
        <v>4</v>
      </c>
      <c r="E289" s="2" t="s">
        <v>14</v>
      </c>
      <c r="F289" s="2" t="s">
        <v>338</v>
      </c>
      <c r="G289" s="3">
        <v>6.76</v>
      </c>
      <c r="H289" s="3">
        <v>3.26</v>
      </c>
      <c r="I289" s="3">
        <v>14.49</v>
      </c>
      <c r="J289" s="3">
        <v>10.3</v>
      </c>
      <c r="K289" s="2"/>
      <c r="L289" s="20"/>
      <c r="M289" s="3">
        <v>1.1599999999999999</v>
      </c>
      <c r="N289" s="2" t="s">
        <v>28</v>
      </c>
      <c r="O289" s="4" t="s">
        <v>110</v>
      </c>
      <c r="P289" s="18" t="s">
        <v>18</v>
      </c>
      <c r="Q289" s="5">
        <f t="shared" si="16"/>
        <v>5.7960000000000003</v>
      </c>
      <c r="R289" s="5">
        <f t="shared" si="17"/>
        <v>5.15</v>
      </c>
      <c r="S289" s="5">
        <f t="shared" si="18"/>
        <v>0.57999999999999996</v>
      </c>
      <c r="T289" s="23">
        <f>('Investor-Inputs'!$G$19 * Q289) + ('Investor-Inputs'!$J$19 * R289) + ('Investor-Inputs'!$N$19 * S289)</f>
        <v>28.268000000000001</v>
      </c>
      <c r="U289" s="27">
        <f t="shared" si="19"/>
        <v>548</v>
      </c>
    </row>
    <row r="290" spans="3:21" x14ac:dyDescent="0.25">
      <c r="C290" s="2" t="s">
        <v>339</v>
      </c>
      <c r="D290" s="2">
        <v>5</v>
      </c>
      <c r="E290" s="2" t="s">
        <v>14</v>
      </c>
      <c r="F290" s="2" t="s">
        <v>338</v>
      </c>
      <c r="G290" s="3">
        <v>9.1</v>
      </c>
      <c r="H290" s="3">
        <v>5.29</v>
      </c>
      <c r="I290" s="3">
        <v>17.68</v>
      </c>
      <c r="J290" s="3">
        <v>12.53</v>
      </c>
      <c r="K290" s="3">
        <v>18.850000000000001</v>
      </c>
      <c r="L290" s="21">
        <v>15.66</v>
      </c>
      <c r="M290" s="3">
        <v>2.37</v>
      </c>
      <c r="N290" s="2" t="s">
        <v>16</v>
      </c>
      <c r="O290" s="4" t="s">
        <v>17</v>
      </c>
      <c r="P290" s="18" t="s">
        <v>18</v>
      </c>
      <c r="Q290" s="5">
        <f t="shared" si="16"/>
        <v>16.497</v>
      </c>
      <c r="R290" s="5">
        <f t="shared" si="17"/>
        <v>14.094999999999999</v>
      </c>
      <c r="S290" s="5">
        <f t="shared" si="18"/>
        <v>10.610000000000001</v>
      </c>
      <c r="T290" s="23">
        <f>('Investor-Inputs'!$G$19 * Q290) + ('Investor-Inputs'!$J$19 * R290) + ('Investor-Inputs'!$N$19 * S290)</f>
        <v>88.290999999999997</v>
      </c>
      <c r="U290" s="27">
        <f t="shared" si="19"/>
        <v>87</v>
      </c>
    </row>
    <row r="291" spans="3:21" x14ac:dyDescent="0.25">
      <c r="C291" s="2" t="s">
        <v>340</v>
      </c>
      <c r="D291" s="2">
        <v>4</v>
      </c>
      <c r="E291" s="2" t="s">
        <v>14</v>
      </c>
      <c r="F291" s="2" t="s">
        <v>338</v>
      </c>
      <c r="G291" s="3">
        <v>18.78</v>
      </c>
      <c r="H291" s="3">
        <v>14.36</v>
      </c>
      <c r="I291" s="3">
        <v>20.37</v>
      </c>
      <c r="J291" s="3">
        <v>17.03</v>
      </c>
      <c r="K291" s="3">
        <v>16.13</v>
      </c>
      <c r="L291" s="21">
        <v>16.809999999999999</v>
      </c>
      <c r="M291" s="3">
        <v>1.34</v>
      </c>
      <c r="N291" s="2" t="s">
        <v>16</v>
      </c>
      <c r="O291" s="4" t="s">
        <v>17</v>
      </c>
      <c r="P291" s="18" t="s">
        <v>18</v>
      </c>
      <c r="Q291" s="5">
        <f t="shared" si="16"/>
        <v>16.213000000000001</v>
      </c>
      <c r="R291" s="5">
        <f t="shared" si="17"/>
        <v>16.920000000000002</v>
      </c>
      <c r="S291" s="5">
        <f t="shared" si="18"/>
        <v>8.7349999999999994</v>
      </c>
      <c r="T291" s="23">
        <f>('Investor-Inputs'!$G$19 * Q291) + ('Investor-Inputs'!$J$19 * R291) + ('Investor-Inputs'!$N$19 * S291)</f>
        <v>91.214000000000013</v>
      </c>
      <c r="U291" s="27">
        <f t="shared" si="19"/>
        <v>79</v>
      </c>
    </row>
    <row r="292" spans="3:21" x14ac:dyDescent="0.25">
      <c r="C292" s="2" t="s">
        <v>341</v>
      </c>
      <c r="D292" s="2">
        <v>4</v>
      </c>
      <c r="E292" s="2" t="s">
        <v>14</v>
      </c>
      <c r="F292" s="2" t="s">
        <v>338</v>
      </c>
      <c r="G292" s="3">
        <v>13.12</v>
      </c>
      <c r="H292" s="3">
        <v>10.08</v>
      </c>
      <c r="I292" s="3">
        <v>19.52</v>
      </c>
      <c r="J292" s="3">
        <v>14.58</v>
      </c>
      <c r="K292" s="3">
        <v>17.059999999999999</v>
      </c>
      <c r="L292" s="21">
        <v>16.25</v>
      </c>
      <c r="M292" s="3">
        <v>1.07</v>
      </c>
      <c r="N292" s="2" t="s">
        <v>16</v>
      </c>
      <c r="O292" s="4" t="s">
        <v>17</v>
      </c>
      <c r="P292" s="18" t="s">
        <v>18</v>
      </c>
      <c r="Q292" s="5">
        <f t="shared" si="16"/>
        <v>16.338000000000001</v>
      </c>
      <c r="R292" s="5">
        <f t="shared" si="17"/>
        <v>15.414999999999999</v>
      </c>
      <c r="S292" s="5">
        <f t="shared" si="18"/>
        <v>9.0649999999999995</v>
      </c>
      <c r="T292" s="23">
        <f>('Investor-Inputs'!$G$19 * Q292) + ('Investor-Inputs'!$J$19 * R292) + ('Investor-Inputs'!$N$19 * S292)</f>
        <v>88.908999999999992</v>
      </c>
      <c r="U292" s="27">
        <f t="shared" si="19"/>
        <v>85</v>
      </c>
    </row>
    <row r="293" spans="3:21" x14ac:dyDescent="0.25">
      <c r="C293" s="2" t="s">
        <v>342</v>
      </c>
      <c r="D293" s="2">
        <v>5</v>
      </c>
      <c r="E293" s="2" t="s">
        <v>14</v>
      </c>
      <c r="F293" s="2" t="s">
        <v>338</v>
      </c>
      <c r="G293" s="3">
        <v>20.86</v>
      </c>
      <c r="H293" s="3">
        <v>17.73</v>
      </c>
      <c r="I293" s="3">
        <v>22.37</v>
      </c>
      <c r="J293" s="3">
        <v>18.37</v>
      </c>
      <c r="K293" s="3">
        <v>21.48</v>
      </c>
      <c r="L293" s="21">
        <v>19.28</v>
      </c>
      <c r="M293" s="3">
        <v>2.57</v>
      </c>
      <c r="N293" s="2" t="s">
        <v>28</v>
      </c>
      <c r="O293" s="4" t="s">
        <v>28</v>
      </c>
      <c r="P293" s="18" t="s">
        <v>18</v>
      </c>
      <c r="Q293" s="5">
        <f t="shared" si="16"/>
        <v>19.688000000000002</v>
      </c>
      <c r="R293" s="5">
        <f t="shared" si="17"/>
        <v>18.825000000000003</v>
      </c>
      <c r="S293" s="5">
        <f t="shared" si="18"/>
        <v>12.025</v>
      </c>
      <c r="T293" s="23">
        <f>('Investor-Inputs'!$G$19 * Q293) + ('Investor-Inputs'!$J$19 * R293) + ('Investor-Inputs'!$N$19 * S293)</f>
        <v>108.73900000000002</v>
      </c>
      <c r="U293" s="27">
        <f t="shared" si="19"/>
        <v>37</v>
      </c>
    </row>
    <row r="294" spans="3:21" x14ac:dyDescent="0.25">
      <c r="C294" s="2" t="s">
        <v>343</v>
      </c>
      <c r="D294" s="2">
        <v>4</v>
      </c>
      <c r="E294" s="2" t="s">
        <v>14</v>
      </c>
      <c r="F294" s="2" t="s">
        <v>338</v>
      </c>
      <c r="G294" s="3">
        <v>16.78</v>
      </c>
      <c r="H294" s="3">
        <v>13.15</v>
      </c>
      <c r="I294" s="3">
        <v>17.75</v>
      </c>
      <c r="J294" s="3">
        <v>14.58</v>
      </c>
      <c r="K294" s="3">
        <v>14.55</v>
      </c>
      <c r="L294" s="21">
        <v>14.92</v>
      </c>
      <c r="M294" s="3">
        <v>1.84</v>
      </c>
      <c r="N294" s="2" t="s">
        <v>16</v>
      </c>
      <c r="O294" s="4" t="s">
        <v>17</v>
      </c>
      <c r="P294" s="18" t="s">
        <v>18</v>
      </c>
      <c r="Q294" s="5">
        <f t="shared" si="16"/>
        <v>14.375</v>
      </c>
      <c r="R294" s="5">
        <f t="shared" si="17"/>
        <v>14.75</v>
      </c>
      <c r="S294" s="5">
        <f t="shared" si="18"/>
        <v>8.1950000000000003</v>
      </c>
      <c r="T294" s="23">
        <f>('Investor-Inputs'!$G$19 * Q294) + ('Investor-Inputs'!$J$19 * R294) + ('Investor-Inputs'!$N$19 * S294)</f>
        <v>80.819999999999993</v>
      </c>
      <c r="U294" s="27">
        <f t="shared" si="19"/>
        <v>126</v>
      </c>
    </row>
    <row r="295" spans="3:21" x14ac:dyDescent="0.25">
      <c r="C295" s="2" t="s">
        <v>344</v>
      </c>
      <c r="D295" s="2">
        <v>4</v>
      </c>
      <c r="E295" s="2" t="s">
        <v>14</v>
      </c>
      <c r="F295" s="2" t="s">
        <v>345</v>
      </c>
      <c r="G295" s="3">
        <v>55.7</v>
      </c>
      <c r="H295" s="3">
        <v>54.17</v>
      </c>
      <c r="I295" s="3">
        <v>33.520000000000003</v>
      </c>
      <c r="J295" s="3">
        <v>44.04</v>
      </c>
      <c r="K295" s="3">
        <v>24.54</v>
      </c>
      <c r="L295" s="21">
        <v>32.729999999999997</v>
      </c>
      <c r="M295" s="3">
        <v>0.48</v>
      </c>
      <c r="N295" s="2" t="s">
        <v>16</v>
      </c>
      <c r="O295" s="4" t="s">
        <v>110</v>
      </c>
      <c r="P295" s="18" t="s">
        <v>18</v>
      </c>
      <c r="Q295" s="5">
        <f t="shared" si="16"/>
        <v>25.678000000000001</v>
      </c>
      <c r="R295" s="5">
        <f t="shared" si="17"/>
        <v>38.384999999999998</v>
      </c>
      <c r="S295" s="5">
        <f t="shared" si="18"/>
        <v>12.51</v>
      </c>
      <c r="T295" s="23">
        <f>('Investor-Inputs'!$G$19 * Q295) + ('Investor-Inputs'!$J$19 * R295) + ('Investor-Inputs'!$N$19 * S295)</f>
        <v>166.31399999999999</v>
      </c>
      <c r="U295" s="27">
        <f t="shared" si="19"/>
        <v>5</v>
      </c>
    </row>
    <row r="296" spans="3:21" x14ac:dyDescent="0.25">
      <c r="C296" s="2" t="s">
        <v>346</v>
      </c>
      <c r="D296" s="2">
        <v>4</v>
      </c>
      <c r="E296" s="2" t="s">
        <v>14</v>
      </c>
      <c r="F296" s="2" t="s">
        <v>345</v>
      </c>
      <c r="G296" s="3">
        <v>56</v>
      </c>
      <c r="H296" s="3">
        <v>53.89</v>
      </c>
      <c r="I296" s="3">
        <v>33.71</v>
      </c>
      <c r="J296" s="3">
        <v>44.49</v>
      </c>
      <c r="K296" s="3">
        <v>24.7</v>
      </c>
      <c r="L296" s="21">
        <v>32.950000000000003</v>
      </c>
      <c r="M296" s="3">
        <v>0.51</v>
      </c>
      <c r="N296" s="2" t="s">
        <v>28</v>
      </c>
      <c r="O296" s="4" t="s">
        <v>24</v>
      </c>
      <c r="P296" s="18" t="s">
        <v>18</v>
      </c>
      <c r="Q296" s="5">
        <f t="shared" si="16"/>
        <v>25.834000000000003</v>
      </c>
      <c r="R296" s="5">
        <f t="shared" si="17"/>
        <v>38.72</v>
      </c>
      <c r="S296" s="5">
        <f t="shared" si="18"/>
        <v>12.605</v>
      </c>
      <c r="T296" s="23">
        <f>('Investor-Inputs'!$G$19 * Q296) + ('Investor-Inputs'!$J$19 * R296) + ('Investor-Inputs'!$N$19 * S296)</f>
        <v>167.547</v>
      </c>
      <c r="U296" s="27">
        <f t="shared" si="19"/>
        <v>3</v>
      </c>
    </row>
    <row r="297" spans="3:21" x14ac:dyDescent="0.25">
      <c r="C297" s="2" t="s">
        <v>347</v>
      </c>
      <c r="D297" s="2">
        <v>4</v>
      </c>
      <c r="E297" s="2" t="s">
        <v>14</v>
      </c>
      <c r="F297" s="2" t="s">
        <v>345</v>
      </c>
      <c r="G297" s="3">
        <v>56.08</v>
      </c>
      <c r="H297" s="3">
        <v>54.16</v>
      </c>
      <c r="I297" s="3">
        <v>33.76</v>
      </c>
      <c r="J297" s="3">
        <v>44.55</v>
      </c>
      <c r="K297" s="3">
        <v>24.72</v>
      </c>
      <c r="L297" s="21">
        <v>33.01</v>
      </c>
      <c r="M297" s="3">
        <v>0.42</v>
      </c>
      <c r="N297" s="2" t="s">
        <v>28</v>
      </c>
      <c r="O297" s="4" t="s">
        <v>24</v>
      </c>
      <c r="P297" s="18" t="s">
        <v>18</v>
      </c>
      <c r="Q297" s="5">
        <f t="shared" si="16"/>
        <v>25.863999999999997</v>
      </c>
      <c r="R297" s="5">
        <f t="shared" si="17"/>
        <v>38.78</v>
      </c>
      <c r="S297" s="5">
        <f t="shared" si="18"/>
        <v>12.57</v>
      </c>
      <c r="T297" s="23">
        <f>('Investor-Inputs'!$G$19 * Q297) + ('Investor-Inputs'!$J$19 * R297) + ('Investor-Inputs'!$N$19 * S297)</f>
        <v>167.72199999999998</v>
      </c>
      <c r="U297" s="27">
        <f t="shared" si="19"/>
        <v>1</v>
      </c>
    </row>
    <row r="298" spans="3:21" x14ac:dyDescent="0.25">
      <c r="C298" s="2" t="s">
        <v>348</v>
      </c>
      <c r="D298" s="2">
        <v>4</v>
      </c>
      <c r="E298" s="2" t="s">
        <v>14</v>
      </c>
      <c r="F298" s="2" t="s">
        <v>345</v>
      </c>
      <c r="G298" s="3">
        <v>53.31</v>
      </c>
      <c r="H298" s="3">
        <v>51.94</v>
      </c>
      <c r="I298" s="2"/>
      <c r="J298" s="2"/>
      <c r="K298" s="2"/>
      <c r="L298" s="20"/>
      <c r="M298" s="3">
        <v>0.68</v>
      </c>
      <c r="N298" s="2" t="s">
        <v>28</v>
      </c>
      <c r="O298" s="4" t="s">
        <v>110</v>
      </c>
      <c r="P298" s="18" t="s">
        <v>18</v>
      </c>
      <c r="Q298" s="5">
        <f t="shared" si="16"/>
        <v>0</v>
      </c>
      <c r="R298" s="5">
        <f t="shared" si="17"/>
        <v>0</v>
      </c>
      <c r="S298" s="5">
        <f t="shared" si="18"/>
        <v>0.34</v>
      </c>
      <c r="T298" s="23">
        <f>('Investor-Inputs'!$G$19 * Q298) + ('Investor-Inputs'!$J$19 * R298) + ('Investor-Inputs'!$N$19 * S298)</f>
        <v>0.34</v>
      </c>
      <c r="U298" s="27">
        <f t="shared" si="19"/>
        <v>583</v>
      </c>
    </row>
    <row r="299" spans="3:21" x14ac:dyDescent="0.25">
      <c r="C299" s="2" t="s">
        <v>349</v>
      </c>
      <c r="D299" s="2">
        <v>4</v>
      </c>
      <c r="E299" s="2" t="s">
        <v>14</v>
      </c>
      <c r="F299" s="2" t="s">
        <v>345</v>
      </c>
      <c r="G299" s="3">
        <v>55.76</v>
      </c>
      <c r="H299" s="3">
        <v>54.35</v>
      </c>
      <c r="I299" s="3">
        <v>33.82</v>
      </c>
      <c r="J299" s="3">
        <v>44.66</v>
      </c>
      <c r="K299" s="2"/>
      <c r="L299" s="20"/>
      <c r="M299" s="3">
        <v>0.53</v>
      </c>
      <c r="N299" s="2" t="s">
        <v>28</v>
      </c>
      <c r="O299" s="4" t="s">
        <v>24</v>
      </c>
      <c r="P299" s="18" t="s">
        <v>18</v>
      </c>
      <c r="Q299" s="5">
        <f t="shared" si="16"/>
        <v>13.528</v>
      </c>
      <c r="R299" s="5">
        <f t="shared" si="17"/>
        <v>22.33</v>
      </c>
      <c r="S299" s="5">
        <f t="shared" si="18"/>
        <v>0.26500000000000001</v>
      </c>
      <c r="T299" s="23">
        <f>('Investor-Inputs'!$G$19 * Q299) + ('Investor-Inputs'!$J$19 * R299) + ('Investor-Inputs'!$N$19 * S299)</f>
        <v>85.509</v>
      </c>
      <c r="U299" s="27">
        <f t="shared" si="19"/>
        <v>110</v>
      </c>
    </row>
    <row r="300" spans="3:21" x14ac:dyDescent="0.25">
      <c r="C300" s="2" t="s">
        <v>13</v>
      </c>
      <c r="D300" s="2">
        <v>4</v>
      </c>
      <c r="E300" s="2" t="s">
        <v>14</v>
      </c>
      <c r="F300" s="2" t="s">
        <v>15</v>
      </c>
      <c r="G300" s="3">
        <v>-0.47</v>
      </c>
      <c r="H300" s="3">
        <v>-6.31</v>
      </c>
      <c r="I300" s="3">
        <v>13.07</v>
      </c>
      <c r="J300" s="3">
        <v>5.14</v>
      </c>
      <c r="K300" s="3">
        <v>12.5</v>
      </c>
      <c r="L300" s="21">
        <v>9.15</v>
      </c>
      <c r="M300" s="3">
        <v>1.58</v>
      </c>
      <c r="N300" s="2" t="s">
        <v>16</v>
      </c>
      <c r="O300" s="4" t="s">
        <v>17</v>
      </c>
      <c r="P300" s="18" t="s">
        <v>350</v>
      </c>
      <c r="Q300" s="5">
        <f t="shared" si="16"/>
        <v>11.478000000000002</v>
      </c>
      <c r="R300" s="5">
        <f t="shared" si="17"/>
        <v>7.1449999999999996</v>
      </c>
      <c r="S300" s="5">
        <f t="shared" si="18"/>
        <v>7.04</v>
      </c>
      <c r="T300" s="23">
        <f>('Investor-Inputs'!$G$19 * Q300) + ('Investor-Inputs'!$J$19 * R300) + ('Investor-Inputs'!$N$19 * S300)</f>
        <v>55.764000000000003</v>
      </c>
      <c r="U300" s="27">
        <f t="shared" si="19"/>
        <v>256</v>
      </c>
    </row>
    <row r="301" spans="3:21" x14ac:dyDescent="0.25">
      <c r="C301" s="2" t="s">
        <v>19</v>
      </c>
      <c r="D301" s="2">
        <v>4</v>
      </c>
      <c r="E301" s="2" t="s">
        <v>14</v>
      </c>
      <c r="F301" s="2" t="s">
        <v>15</v>
      </c>
      <c r="G301" s="3">
        <v>6.69</v>
      </c>
      <c r="H301" s="3">
        <v>2.58</v>
      </c>
      <c r="I301" s="3">
        <v>15.81</v>
      </c>
      <c r="J301" s="3">
        <v>8.65</v>
      </c>
      <c r="K301" s="2"/>
      <c r="L301" s="20"/>
      <c r="M301" s="3">
        <v>1.1000000000000001</v>
      </c>
      <c r="N301" s="2" t="s">
        <v>16</v>
      </c>
      <c r="O301" s="4" t="s">
        <v>17</v>
      </c>
      <c r="P301" s="18" t="s">
        <v>350</v>
      </c>
      <c r="Q301" s="5">
        <f t="shared" si="16"/>
        <v>6.3240000000000007</v>
      </c>
      <c r="R301" s="5">
        <f t="shared" si="17"/>
        <v>4.3250000000000002</v>
      </c>
      <c r="S301" s="5">
        <f t="shared" si="18"/>
        <v>0.55000000000000004</v>
      </c>
      <c r="T301" s="23">
        <f>('Investor-Inputs'!$G$19 * Q301) + ('Investor-Inputs'!$J$19 * R301) + ('Investor-Inputs'!$N$19 * S301)</f>
        <v>28.172000000000001</v>
      </c>
      <c r="U301" s="27">
        <f t="shared" si="19"/>
        <v>554</v>
      </c>
    </row>
    <row r="302" spans="3:21" x14ac:dyDescent="0.25">
      <c r="C302" s="2" t="s">
        <v>20</v>
      </c>
      <c r="D302" s="2">
        <v>4</v>
      </c>
      <c r="E302" s="2" t="s">
        <v>14</v>
      </c>
      <c r="F302" s="2" t="s">
        <v>15</v>
      </c>
      <c r="G302" s="3">
        <v>8.1199999999999992</v>
      </c>
      <c r="H302" s="3">
        <v>6.8</v>
      </c>
      <c r="I302" s="3">
        <v>20.350000000000001</v>
      </c>
      <c r="J302" s="3">
        <v>10.29</v>
      </c>
      <c r="K302" s="2"/>
      <c r="L302" s="20"/>
      <c r="M302" s="3">
        <v>0.89</v>
      </c>
      <c r="N302" s="2" t="s">
        <v>16</v>
      </c>
      <c r="O302" s="4" t="s">
        <v>17</v>
      </c>
      <c r="P302" s="18" t="s">
        <v>350</v>
      </c>
      <c r="Q302" s="5">
        <f t="shared" si="16"/>
        <v>8.14</v>
      </c>
      <c r="R302" s="5">
        <f t="shared" si="17"/>
        <v>5.1449999999999996</v>
      </c>
      <c r="S302" s="5">
        <f t="shared" si="18"/>
        <v>0.44500000000000001</v>
      </c>
      <c r="T302" s="23">
        <f>('Investor-Inputs'!$G$19 * Q302) + ('Investor-Inputs'!$J$19 * R302) + ('Investor-Inputs'!$N$19 * S302)</f>
        <v>35.155000000000001</v>
      </c>
      <c r="U302" s="27">
        <f t="shared" si="19"/>
        <v>389</v>
      </c>
    </row>
    <row r="303" spans="3:21" x14ac:dyDescent="0.25">
      <c r="C303" s="2" t="s">
        <v>21</v>
      </c>
      <c r="D303" s="2">
        <v>4</v>
      </c>
      <c r="E303" s="2" t="s">
        <v>14</v>
      </c>
      <c r="F303" s="2" t="s">
        <v>15</v>
      </c>
      <c r="G303" s="3">
        <v>2.79</v>
      </c>
      <c r="H303" s="3">
        <v>-2.89</v>
      </c>
      <c r="I303" s="3">
        <v>14.78</v>
      </c>
      <c r="J303" s="3">
        <v>7.14</v>
      </c>
      <c r="K303" s="3">
        <v>12.89</v>
      </c>
      <c r="L303" s="21">
        <v>10.4</v>
      </c>
      <c r="M303" s="3">
        <v>2.2400000000000002</v>
      </c>
      <c r="N303" s="2" t="s">
        <v>16</v>
      </c>
      <c r="O303" s="4" t="s">
        <v>17</v>
      </c>
      <c r="P303" s="18" t="s">
        <v>350</v>
      </c>
      <c r="Q303" s="5">
        <f t="shared" si="16"/>
        <v>12.356999999999999</v>
      </c>
      <c r="R303" s="5">
        <f t="shared" si="17"/>
        <v>8.77</v>
      </c>
      <c r="S303" s="5">
        <f t="shared" si="18"/>
        <v>7.5650000000000004</v>
      </c>
      <c r="T303" s="23">
        <f>('Investor-Inputs'!$G$19 * Q303) + ('Investor-Inputs'!$J$19 * R303) + ('Investor-Inputs'!$N$19 * S303)</f>
        <v>62.175999999999995</v>
      </c>
      <c r="U303" s="27">
        <f t="shared" si="19"/>
        <v>226</v>
      </c>
    </row>
    <row r="304" spans="3:21" x14ac:dyDescent="0.25">
      <c r="C304" s="2" t="s">
        <v>22</v>
      </c>
      <c r="D304" s="2">
        <v>4</v>
      </c>
      <c r="E304" s="2" t="s">
        <v>14</v>
      </c>
      <c r="F304" s="2" t="s">
        <v>15</v>
      </c>
      <c r="G304" s="3">
        <v>2.57</v>
      </c>
      <c r="H304" s="3">
        <v>-0.27</v>
      </c>
      <c r="I304" s="3">
        <v>14.44</v>
      </c>
      <c r="J304" s="3">
        <v>6.72</v>
      </c>
      <c r="K304" s="3">
        <v>13.07</v>
      </c>
      <c r="L304" s="21">
        <v>10.53</v>
      </c>
      <c r="M304" s="3">
        <v>2</v>
      </c>
      <c r="N304" s="2" t="s">
        <v>16</v>
      </c>
      <c r="O304" s="4" t="s">
        <v>17</v>
      </c>
      <c r="P304" s="18" t="s">
        <v>350</v>
      </c>
      <c r="Q304" s="5">
        <f t="shared" si="16"/>
        <v>12.311</v>
      </c>
      <c r="R304" s="5">
        <f t="shared" si="17"/>
        <v>8.625</v>
      </c>
      <c r="S304" s="5">
        <f t="shared" si="18"/>
        <v>7.5350000000000001</v>
      </c>
      <c r="T304" s="23">
        <f>('Investor-Inputs'!$G$19 * Q304) + ('Investor-Inputs'!$J$19 * R304) + ('Investor-Inputs'!$N$19 * S304)</f>
        <v>61.718000000000004</v>
      </c>
      <c r="U304" s="27">
        <f t="shared" si="19"/>
        <v>230</v>
      </c>
    </row>
    <row r="305" spans="3:21" x14ac:dyDescent="0.25">
      <c r="C305" s="2" t="s">
        <v>23</v>
      </c>
      <c r="D305" s="2">
        <v>4</v>
      </c>
      <c r="E305" s="2" t="s">
        <v>14</v>
      </c>
      <c r="F305" s="2" t="s">
        <v>15</v>
      </c>
      <c r="G305" s="3">
        <v>-1.43</v>
      </c>
      <c r="H305" s="3">
        <v>-6.93</v>
      </c>
      <c r="I305" s="3">
        <v>12.6</v>
      </c>
      <c r="J305" s="3">
        <v>4.99</v>
      </c>
      <c r="K305" s="3">
        <v>11.37</v>
      </c>
      <c r="L305" s="21">
        <v>8.7100000000000009</v>
      </c>
      <c r="M305" s="3">
        <v>1.75</v>
      </c>
      <c r="N305" s="2" t="s">
        <v>16</v>
      </c>
      <c r="O305" s="4" t="s">
        <v>24</v>
      </c>
      <c r="P305" s="18" t="s">
        <v>350</v>
      </c>
      <c r="Q305" s="5">
        <f t="shared" si="16"/>
        <v>10.725</v>
      </c>
      <c r="R305" s="5">
        <f t="shared" si="17"/>
        <v>6.8500000000000005</v>
      </c>
      <c r="S305" s="5">
        <f t="shared" si="18"/>
        <v>6.56</v>
      </c>
      <c r="T305" s="23">
        <f>('Investor-Inputs'!$G$19 * Q305) + ('Investor-Inputs'!$J$19 * R305) + ('Investor-Inputs'!$N$19 * S305)</f>
        <v>52.435000000000002</v>
      </c>
      <c r="U305" s="27">
        <f t="shared" si="19"/>
        <v>275</v>
      </c>
    </row>
    <row r="306" spans="3:21" x14ac:dyDescent="0.25">
      <c r="C306" s="2" t="s">
        <v>25</v>
      </c>
      <c r="D306" s="2">
        <v>5</v>
      </c>
      <c r="E306" s="2" t="s">
        <v>14</v>
      </c>
      <c r="F306" s="2" t="s">
        <v>15</v>
      </c>
      <c r="G306" s="3">
        <v>-2.41</v>
      </c>
      <c r="H306" s="3">
        <v>-6.84</v>
      </c>
      <c r="I306" s="3">
        <v>15.09</v>
      </c>
      <c r="J306" s="3">
        <v>6.23</v>
      </c>
      <c r="K306" s="3">
        <v>12.28</v>
      </c>
      <c r="L306" s="21">
        <v>10.35</v>
      </c>
      <c r="M306" s="3">
        <v>2.52</v>
      </c>
      <c r="N306" s="2" t="s">
        <v>16</v>
      </c>
      <c r="O306" s="4" t="s">
        <v>17</v>
      </c>
      <c r="P306" s="18" t="s">
        <v>350</v>
      </c>
      <c r="Q306" s="5">
        <f t="shared" si="16"/>
        <v>12.176</v>
      </c>
      <c r="R306" s="5">
        <f t="shared" si="17"/>
        <v>8.2899999999999991</v>
      </c>
      <c r="S306" s="5">
        <f t="shared" si="18"/>
        <v>7.3999999999999995</v>
      </c>
      <c r="T306" s="23">
        <f>('Investor-Inputs'!$G$19 * Q306) + ('Investor-Inputs'!$J$19 * R306) + ('Investor-Inputs'!$N$19 * S306)</f>
        <v>60.507999999999996</v>
      </c>
      <c r="U306" s="27">
        <f t="shared" si="19"/>
        <v>236</v>
      </c>
    </row>
    <row r="307" spans="3:21" x14ac:dyDescent="0.25">
      <c r="C307" s="2" t="s">
        <v>26</v>
      </c>
      <c r="D307" s="2">
        <v>5</v>
      </c>
      <c r="E307" s="2" t="s">
        <v>14</v>
      </c>
      <c r="F307" s="2" t="s">
        <v>15</v>
      </c>
      <c r="G307" s="3">
        <v>6.81</v>
      </c>
      <c r="H307" s="3">
        <v>2.67</v>
      </c>
      <c r="I307" s="3">
        <v>15.95</v>
      </c>
      <c r="J307" s="3">
        <v>8.77</v>
      </c>
      <c r="K307" s="3">
        <v>14.83</v>
      </c>
      <c r="L307" s="21">
        <v>12.24</v>
      </c>
      <c r="M307" s="3">
        <v>0.95</v>
      </c>
      <c r="N307" s="2" t="s">
        <v>16</v>
      </c>
      <c r="O307" s="4" t="s">
        <v>17</v>
      </c>
      <c r="P307" s="18" t="s">
        <v>350</v>
      </c>
      <c r="Q307" s="5">
        <f t="shared" si="16"/>
        <v>13.795</v>
      </c>
      <c r="R307" s="5">
        <f t="shared" si="17"/>
        <v>10.504999999999999</v>
      </c>
      <c r="S307" s="5">
        <f t="shared" si="18"/>
        <v>7.89</v>
      </c>
      <c r="T307" s="23">
        <f>('Investor-Inputs'!$G$19 * Q307) + ('Investor-Inputs'!$J$19 * R307) + ('Investor-Inputs'!$N$19 * S307)</f>
        <v>70.284999999999997</v>
      </c>
      <c r="U307" s="27">
        <f t="shared" si="19"/>
        <v>192</v>
      </c>
    </row>
    <row r="308" spans="3:21" x14ac:dyDescent="0.25">
      <c r="C308" s="2" t="s">
        <v>27</v>
      </c>
      <c r="D308" s="2">
        <v>4</v>
      </c>
      <c r="E308" s="2" t="s">
        <v>14</v>
      </c>
      <c r="F308" s="2" t="s">
        <v>15</v>
      </c>
      <c r="G308" s="3">
        <v>8.35</v>
      </c>
      <c r="H308" s="3">
        <v>6.86</v>
      </c>
      <c r="I308" s="3">
        <v>20.83</v>
      </c>
      <c r="J308" s="3">
        <v>10.65</v>
      </c>
      <c r="K308" s="3">
        <v>15.1</v>
      </c>
      <c r="L308" s="21">
        <v>13.33</v>
      </c>
      <c r="M308" s="3">
        <v>0.98</v>
      </c>
      <c r="N308" s="2" t="s">
        <v>16</v>
      </c>
      <c r="O308" s="4" t="s">
        <v>28</v>
      </c>
      <c r="P308" s="18" t="s">
        <v>350</v>
      </c>
      <c r="Q308" s="5">
        <f t="shared" si="16"/>
        <v>15.881999999999998</v>
      </c>
      <c r="R308" s="5">
        <f t="shared" si="17"/>
        <v>11.99</v>
      </c>
      <c r="S308" s="5">
        <f t="shared" si="18"/>
        <v>8.0399999999999991</v>
      </c>
      <c r="T308" s="23">
        <f>('Investor-Inputs'!$G$19 * Q308) + ('Investor-Inputs'!$J$19 * R308) + ('Investor-Inputs'!$N$19 * S308)</f>
        <v>79.665999999999997</v>
      </c>
      <c r="U308" s="27">
        <f t="shared" si="19"/>
        <v>132</v>
      </c>
    </row>
    <row r="309" spans="3:21" x14ac:dyDescent="0.25">
      <c r="C309" s="2" t="s">
        <v>29</v>
      </c>
      <c r="D309" s="2">
        <v>4</v>
      </c>
      <c r="E309" s="2" t="s">
        <v>14</v>
      </c>
      <c r="F309" s="2" t="s">
        <v>15</v>
      </c>
      <c r="G309" s="3">
        <v>-0.09</v>
      </c>
      <c r="H309" s="3">
        <v>-5.13</v>
      </c>
      <c r="I309" s="3">
        <v>12.29</v>
      </c>
      <c r="J309" s="3">
        <v>4.59</v>
      </c>
      <c r="K309" s="3">
        <v>12.11</v>
      </c>
      <c r="L309" s="21">
        <v>9</v>
      </c>
      <c r="M309" s="3">
        <v>2.12</v>
      </c>
      <c r="N309" s="2" t="s">
        <v>16</v>
      </c>
      <c r="O309" s="4" t="s">
        <v>24</v>
      </c>
      <c r="P309" s="18" t="s">
        <v>350</v>
      </c>
      <c r="Q309" s="5">
        <f t="shared" si="16"/>
        <v>10.971</v>
      </c>
      <c r="R309" s="5">
        <f t="shared" si="17"/>
        <v>6.7949999999999999</v>
      </c>
      <c r="S309" s="5">
        <f t="shared" si="18"/>
        <v>7.1150000000000002</v>
      </c>
      <c r="T309" s="23">
        <f>('Investor-Inputs'!$G$19 * Q309) + ('Investor-Inputs'!$J$19 * R309) + ('Investor-Inputs'!$N$19 * S309)</f>
        <v>53.618000000000002</v>
      </c>
      <c r="U309" s="27">
        <f t="shared" si="19"/>
        <v>273</v>
      </c>
    </row>
    <row r="310" spans="3:21" x14ac:dyDescent="0.25">
      <c r="C310" s="2" t="s">
        <v>30</v>
      </c>
      <c r="D310" s="2">
        <v>5</v>
      </c>
      <c r="E310" s="2" t="s">
        <v>14</v>
      </c>
      <c r="F310" s="2" t="s">
        <v>15</v>
      </c>
      <c r="G310" s="3">
        <v>-1.59</v>
      </c>
      <c r="H310" s="3">
        <v>-6.6</v>
      </c>
      <c r="I310" s="3">
        <v>12.48</v>
      </c>
      <c r="J310" s="3">
        <v>3.95</v>
      </c>
      <c r="K310" s="3">
        <v>13.84</v>
      </c>
      <c r="L310" s="21">
        <v>9.59</v>
      </c>
      <c r="M310" s="3">
        <v>1.58</v>
      </c>
      <c r="N310" s="2" t="s">
        <v>16</v>
      </c>
      <c r="O310" s="4" t="s">
        <v>17</v>
      </c>
      <c r="P310" s="18" t="s">
        <v>350</v>
      </c>
      <c r="Q310" s="5">
        <f t="shared" si="16"/>
        <v>11.912000000000001</v>
      </c>
      <c r="R310" s="5">
        <f t="shared" si="17"/>
        <v>6.77</v>
      </c>
      <c r="S310" s="5">
        <f t="shared" si="18"/>
        <v>7.71</v>
      </c>
      <c r="T310" s="23">
        <f>('Investor-Inputs'!$G$19 * Q310) + ('Investor-Inputs'!$J$19 * R310) + ('Investor-Inputs'!$N$19 * S310)</f>
        <v>56.986000000000004</v>
      </c>
      <c r="U310" s="27">
        <f t="shared" si="19"/>
        <v>246</v>
      </c>
    </row>
    <row r="311" spans="3:21" x14ac:dyDescent="0.25">
      <c r="C311" s="2" t="s">
        <v>31</v>
      </c>
      <c r="D311" s="2">
        <v>4</v>
      </c>
      <c r="E311" s="2" t="s">
        <v>14</v>
      </c>
      <c r="F311" s="2" t="s">
        <v>15</v>
      </c>
      <c r="G311" s="3">
        <v>7.88</v>
      </c>
      <c r="H311" s="3">
        <v>4.9000000000000004</v>
      </c>
      <c r="I311" s="3">
        <v>18.079999999999998</v>
      </c>
      <c r="J311" s="3">
        <v>9.68</v>
      </c>
      <c r="K311" s="2"/>
      <c r="L311" s="20"/>
      <c r="M311" s="3">
        <v>0.88</v>
      </c>
      <c r="N311" s="2" t="s">
        <v>16</v>
      </c>
      <c r="O311" s="4" t="s">
        <v>17</v>
      </c>
      <c r="P311" s="18" t="s">
        <v>350</v>
      </c>
      <c r="Q311" s="5">
        <f t="shared" si="16"/>
        <v>7.2319999999999993</v>
      </c>
      <c r="R311" s="5">
        <f t="shared" si="17"/>
        <v>4.84</v>
      </c>
      <c r="S311" s="5">
        <f t="shared" si="18"/>
        <v>0.44</v>
      </c>
      <c r="T311" s="23">
        <f>('Investor-Inputs'!$G$19 * Q311) + ('Investor-Inputs'!$J$19 * R311) + ('Investor-Inputs'!$N$19 * S311)</f>
        <v>31.815999999999999</v>
      </c>
      <c r="U311" s="27">
        <f t="shared" si="19"/>
        <v>504</v>
      </c>
    </row>
    <row r="312" spans="3:21" x14ac:dyDescent="0.25">
      <c r="C312" s="2" t="s">
        <v>32</v>
      </c>
      <c r="D312" s="2">
        <v>5</v>
      </c>
      <c r="E312" s="2" t="s">
        <v>14</v>
      </c>
      <c r="F312" s="2" t="s">
        <v>15</v>
      </c>
      <c r="G312" s="3">
        <v>6.85</v>
      </c>
      <c r="H312" s="3">
        <v>2.71</v>
      </c>
      <c r="I312" s="3">
        <v>16.02</v>
      </c>
      <c r="J312" s="3">
        <v>8.85</v>
      </c>
      <c r="K312" s="2"/>
      <c r="L312" s="20"/>
      <c r="M312" s="3">
        <v>1</v>
      </c>
      <c r="N312" s="2" t="s">
        <v>16</v>
      </c>
      <c r="O312" s="4" t="s">
        <v>17</v>
      </c>
      <c r="P312" s="18" t="s">
        <v>350</v>
      </c>
      <c r="Q312" s="5">
        <f t="shared" si="16"/>
        <v>6.4080000000000004</v>
      </c>
      <c r="R312" s="5">
        <f t="shared" si="17"/>
        <v>4.4249999999999998</v>
      </c>
      <c r="S312" s="5">
        <f t="shared" si="18"/>
        <v>0.5</v>
      </c>
      <c r="T312" s="23">
        <f>('Investor-Inputs'!$G$19 * Q312) + ('Investor-Inputs'!$J$19 * R312) + ('Investor-Inputs'!$N$19 * S312)</f>
        <v>28.573999999999998</v>
      </c>
      <c r="U312" s="27">
        <f t="shared" si="19"/>
        <v>546</v>
      </c>
    </row>
    <row r="313" spans="3:21" x14ac:dyDescent="0.25">
      <c r="C313" s="2" t="s">
        <v>33</v>
      </c>
      <c r="D313" s="2">
        <v>5</v>
      </c>
      <c r="E313" s="2" t="s">
        <v>14</v>
      </c>
      <c r="F313" s="2" t="s">
        <v>15</v>
      </c>
      <c r="G313" s="3">
        <v>17.399999999999999</v>
      </c>
      <c r="H313" s="3">
        <v>18.98</v>
      </c>
      <c r="I313" s="3">
        <v>25.53</v>
      </c>
      <c r="J313" s="3">
        <v>16.37</v>
      </c>
      <c r="K313" s="3">
        <v>28</v>
      </c>
      <c r="L313" s="21">
        <v>23.73</v>
      </c>
      <c r="M313" s="3">
        <v>0.14000000000000001</v>
      </c>
      <c r="N313" s="2" t="s">
        <v>16</v>
      </c>
      <c r="O313" s="4" t="s">
        <v>28</v>
      </c>
      <c r="P313" s="18" t="s">
        <v>350</v>
      </c>
      <c r="Q313" s="5">
        <f t="shared" si="16"/>
        <v>24.212000000000003</v>
      </c>
      <c r="R313" s="5">
        <f t="shared" si="17"/>
        <v>20.05</v>
      </c>
      <c r="S313" s="5">
        <f t="shared" si="18"/>
        <v>14.07</v>
      </c>
      <c r="T313" s="23">
        <f>('Investor-Inputs'!$G$19 * Q313) + ('Investor-Inputs'!$J$19 * R313) + ('Investor-Inputs'!$N$19 * S313)</f>
        <v>126.80600000000001</v>
      </c>
      <c r="U313" s="27">
        <f t="shared" si="19"/>
        <v>7</v>
      </c>
    </row>
    <row r="314" spans="3:21" x14ac:dyDescent="0.25">
      <c r="C314" s="2" t="s">
        <v>34</v>
      </c>
      <c r="D314" s="2">
        <v>5</v>
      </c>
      <c r="E314" s="2" t="s">
        <v>14</v>
      </c>
      <c r="F314" s="2" t="s">
        <v>15</v>
      </c>
      <c r="G314" s="3">
        <v>7.0000000000000007E-2</v>
      </c>
      <c r="H314" s="3">
        <v>-5.94</v>
      </c>
      <c r="I314" s="3">
        <v>15.26</v>
      </c>
      <c r="J314" s="3">
        <v>6.51</v>
      </c>
      <c r="K314" s="3">
        <v>14.67</v>
      </c>
      <c r="L314" s="21">
        <v>11.25</v>
      </c>
      <c r="M314" s="3">
        <v>3.59</v>
      </c>
      <c r="N314" s="2" t="s">
        <v>16</v>
      </c>
      <c r="O314" s="4" t="s">
        <v>17</v>
      </c>
      <c r="P314" s="18" t="s">
        <v>350</v>
      </c>
      <c r="Q314" s="5">
        <f t="shared" si="16"/>
        <v>13.439</v>
      </c>
      <c r="R314" s="5">
        <f t="shared" si="17"/>
        <v>8.879999999999999</v>
      </c>
      <c r="S314" s="5">
        <f t="shared" si="18"/>
        <v>9.129999999999999</v>
      </c>
      <c r="T314" s="23">
        <f>('Investor-Inputs'!$G$19 * Q314) + ('Investor-Inputs'!$J$19 * R314) + ('Investor-Inputs'!$N$19 * S314)</f>
        <v>67.206999999999994</v>
      </c>
      <c r="U314" s="27">
        <f t="shared" si="19"/>
        <v>202</v>
      </c>
    </row>
    <row r="315" spans="3:21" x14ac:dyDescent="0.25">
      <c r="C315" s="2" t="s">
        <v>35</v>
      </c>
      <c r="D315" s="2">
        <v>4</v>
      </c>
      <c r="E315" s="2" t="s">
        <v>14</v>
      </c>
      <c r="F315" s="2" t="s">
        <v>15</v>
      </c>
      <c r="G315" s="3">
        <v>1.08</v>
      </c>
      <c r="H315" s="3">
        <v>-4.13</v>
      </c>
      <c r="I315" s="3">
        <v>13.56</v>
      </c>
      <c r="J315" s="3">
        <v>5.49</v>
      </c>
      <c r="K315" s="3">
        <v>12.11</v>
      </c>
      <c r="L315" s="21">
        <v>9.43</v>
      </c>
      <c r="M315" s="3">
        <v>0.57999999999999996</v>
      </c>
      <c r="N315" s="2" t="s">
        <v>16</v>
      </c>
      <c r="O315" s="4" t="s">
        <v>24</v>
      </c>
      <c r="P315" s="18" t="s">
        <v>350</v>
      </c>
      <c r="Q315" s="5">
        <f t="shared" si="16"/>
        <v>11.478999999999999</v>
      </c>
      <c r="R315" s="5">
        <f t="shared" si="17"/>
        <v>7.46</v>
      </c>
      <c r="S315" s="5">
        <f t="shared" si="18"/>
        <v>6.3449999999999998</v>
      </c>
      <c r="T315" s="23">
        <f>('Investor-Inputs'!$G$19 * Q315) + ('Investor-Inputs'!$J$19 * R315) + ('Investor-Inputs'!$N$19 * S315)</f>
        <v>55.701999999999998</v>
      </c>
      <c r="U315" s="27">
        <f t="shared" si="19"/>
        <v>258</v>
      </c>
    </row>
    <row r="316" spans="3:21" x14ac:dyDescent="0.25">
      <c r="C316" s="2" t="s">
        <v>36</v>
      </c>
      <c r="D316" s="2">
        <v>4</v>
      </c>
      <c r="E316" s="2" t="s">
        <v>14</v>
      </c>
      <c r="F316" s="2" t="s">
        <v>15</v>
      </c>
      <c r="G316" s="3">
        <v>6.65</v>
      </c>
      <c r="H316" s="3">
        <v>2.5299999999999998</v>
      </c>
      <c r="I316" s="3">
        <v>15.8</v>
      </c>
      <c r="J316" s="3">
        <v>8.67</v>
      </c>
      <c r="K316" s="2"/>
      <c r="L316" s="20"/>
      <c r="M316" s="3">
        <v>1.25</v>
      </c>
      <c r="N316" s="2" t="s">
        <v>16</v>
      </c>
      <c r="O316" s="4" t="s">
        <v>17</v>
      </c>
      <c r="P316" s="18" t="s">
        <v>350</v>
      </c>
      <c r="Q316" s="5">
        <f t="shared" si="16"/>
        <v>6.32</v>
      </c>
      <c r="R316" s="5">
        <f t="shared" si="17"/>
        <v>4.335</v>
      </c>
      <c r="S316" s="5">
        <f t="shared" si="18"/>
        <v>0.625</v>
      </c>
      <c r="T316" s="23">
        <f>('Investor-Inputs'!$G$19 * Q316) + ('Investor-Inputs'!$J$19 * R316) + ('Investor-Inputs'!$N$19 * S316)</f>
        <v>28.255000000000003</v>
      </c>
      <c r="U316" s="27">
        <f t="shared" si="19"/>
        <v>552</v>
      </c>
    </row>
    <row r="317" spans="3:21" x14ac:dyDescent="0.25">
      <c r="C317" s="2" t="s">
        <v>37</v>
      </c>
      <c r="D317" s="2">
        <v>4</v>
      </c>
      <c r="E317" s="2" t="s">
        <v>14</v>
      </c>
      <c r="F317" s="2" t="s">
        <v>15</v>
      </c>
      <c r="G317" s="3">
        <v>2.12</v>
      </c>
      <c r="H317" s="3">
        <v>-3.12</v>
      </c>
      <c r="I317" s="3">
        <v>15.53</v>
      </c>
      <c r="J317" s="3">
        <v>7</v>
      </c>
      <c r="K317" s="3">
        <v>13.55</v>
      </c>
      <c r="L317" s="21">
        <v>10.5</v>
      </c>
      <c r="M317" s="3">
        <v>2.08</v>
      </c>
      <c r="N317" s="2" t="s">
        <v>16</v>
      </c>
      <c r="O317" s="4" t="s">
        <v>17</v>
      </c>
      <c r="P317" s="18" t="s">
        <v>350</v>
      </c>
      <c r="Q317" s="5">
        <f t="shared" si="16"/>
        <v>12.987</v>
      </c>
      <c r="R317" s="5">
        <f t="shared" si="17"/>
        <v>8.75</v>
      </c>
      <c r="S317" s="5">
        <f t="shared" si="18"/>
        <v>7.8150000000000004</v>
      </c>
      <c r="T317" s="23">
        <f>('Investor-Inputs'!$G$19 * Q317) + ('Investor-Inputs'!$J$19 * R317) + ('Investor-Inputs'!$N$19 * S317)</f>
        <v>64.275999999999996</v>
      </c>
      <c r="U317" s="27">
        <f t="shared" si="19"/>
        <v>212</v>
      </c>
    </row>
    <row r="318" spans="3:21" x14ac:dyDescent="0.25">
      <c r="C318" s="2" t="s">
        <v>38</v>
      </c>
      <c r="D318" s="2">
        <v>4</v>
      </c>
      <c r="E318" s="2" t="s">
        <v>14</v>
      </c>
      <c r="F318" s="2" t="s">
        <v>15</v>
      </c>
      <c r="G318" s="3">
        <v>0.86</v>
      </c>
      <c r="H318" s="3">
        <v>-5.19</v>
      </c>
      <c r="I318" s="3">
        <v>12.92</v>
      </c>
      <c r="J318" s="3">
        <v>5.64</v>
      </c>
      <c r="K318" s="3">
        <v>12.12</v>
      </c>
      <c r="L318" s="21">
        <v>9.24</v>
      </c>
      <c r="M318" s="3">
        <v>1.89</v>
      </c>
      <c r="N318" s="2" t="s">
        <v>16</v>
      </c>
      <c r="O318" s="4" t="s">
        <v>24</v>
      </c>
      <c r="P318" s="18" t="s">
        <v>350</v>
      </c>
      <c r="Q318" s="5">
        <f t="shared" si="16"/>
        <v>11.228</v>
      </c>
      <c r="R318" s="5">
        <f t="shared" si="17"/>
        <v>7.4399999999999995</v>
      </c>
      <c r="S318" s="5">
        <f t="shared" si="18"/>
        <v>7.0049999999999999</v>
      </c>
      <c r="T318" s="23">
        <f>('Investor-Inputs'!$G$19 * Q318) + ('Investor-Inputs'!$J$19 * R318) + ('Investor-Inputs'!$N$19 * S318)</f>
        <v>55.568999999999996</v>
      </c>
      <c r="U318" s="27">
        <f t="shared" si="19"/>
        <v>262</v>
      </c>
    </row>
    <row r="319" spans="3:21" x14ac:dyDescent="0.25">
      <c r="C319" s="2" t="s">
        <v>39</v>
      </c>
      <c r="D319" s="2">
        <v>4</v>
      </c>
      <c r="E319" s="2" t="s">
        <v>14</v>
      </c>
      <c r="F319" s="2" t="s">
        <v>15</v>
      </c>
      <c r="G319" s="3">
        <v>8.33</v>
      </c>
      <c r="H319" s="3">
        <v>6.98</v>
      </c>
      <c r="I319" s="3">
        <v>20.72</v>
      </c>
      <c r="J319" s="3">
        <v>10.66</v>
      </c>
      <c r="K319" s="3">
        <v>15.03</v>
      </c>
      <c r="L319" s="21">
        <v>13.29</v>
      </c>
      <c r="M319" s="3">
        <v>0.9</v>
      </c>
      <c r="N319" s="2" t="s">
        <v>16</v>
      </c>
      <c r="O319" s="4" t="s">
        <v>28</v>
      </c>
      <c r="P319" s="18" t="s">
        <v>350</v>
      </c>
      <c r="Q319" s="5">
        <f t="shared" si="16"/>
        <v>15.803000000000001</v>
      </c>
      <c r="R319" s="5">
        <f t="shared" si="17"/>
        <v>11.975</v>
      </c>
      <c r="S319" s="5">
        <f t="shared" si="18"/>
        <v>7.9649999999999999</v>
      </c>
      <c r="T319" s="23">
        <f>('Investor-Inputs'!$G$19 * Q319) + ('Investor-Inputs'!$J$19 * R319) + ('Investor-Inputs'!$N$19 * S319)</f>
        <v>79.324000000000012</v>
      </c>
      <c r="U319" s="27">
        <f t="shared" si="19"/>
        <v>134</v>
      </c>
    </row>
    <row r="320" spans="3:21" x14ac:dyDescent="0.25">
      <c r="C320" s="2" t="s">
        <v>40</v>
      </c>
      <c r="D320" s="2">
        <v>4</v>
      </c>
      <c r="E320" s="2" t="s">
        <v>14</v>
      </c>
      <c r="F320" s="2" t="s">
        <v>15</v>
      </c>
      <c r="G320" s="3">
        <v>3.38</v>
      </c>
      <c r="H320" s="3">
        <v>-1.33</v>
      </c>
      <c r="I320" s="3">
        <v>14.48</v>
      </c>
      <c r="J320" s="3">
        <v>6.77</v>
      </c>
      <c r="K320" s="3">
        <v>13.29</v>
      </c>
      <c r="L320" s="21">
        <v>10.45</v>
      </c>
      <c r="M320" s="3">
        <v>0.11</v>
      </c>
      <c r="N320" s="2" t="s">
        <v>16</v>
      </c>
      <c r="O320" s="4" t="s">
        <v>17</v>
      </c>
      <c r="P320" s="18" t="s">
        <v>350</v>
      </c>
      <c r="Q320" s="5">
        <f t="shared" si="16"/>
        <v>12.437000000000001</v>
      </c>
      <c r="R320" s="5">
        <f t="shared" si="17"/>
        <v>8.61</v>
      </c>
      <c r="S320" s="5">
        <f t="shared" si="18"/>
        <v>6.6999999999999993</v>
      </c>
      <c r="T320" s="23">
        <f>('Investor-Inputs'!$G$19 * Q320) + ('Investor-Inputs'!$J$19 * R320) + ('Investor-Inputs'!$N$19 * S320)</f>
        <v>61.231000000000009</v>
      </c>
      <c r="U320" s="27">
        <f t="shared" si="19"/>
        <v>232</v>
      </c>
    </row>
    <row r="321" spans="3:21" x14ac:dyDescent="0.25">
      <c r="C321" s="2" t="s">
        <v>41</v>
      </c>
      <c r="D321" s="2">
        <v>4</v>
      </c>
      <c r="E321" s="2" t="s">
        <v>14</v>
      </c>
      <c r="F321" s="2" t="s">
        <v>15</v>
      </c>
      <c r="G321" s="3">
        <v>7.86</v>
      </c>
      <c r="H321" s="3">
        <v>6.38</v>
      </c>
      <c r="I321" s="3">
        <v>20.48</v>
      </c>
      <c r="J321" s="3">
        <v>10.34</v>
      </c>
      <c r="K321" s="2"/>
      <c r="L321" s="20"/>
      <c r="M321" s="3">
        <v>1.07</v>
      </c>
      <c r="N321" s="2" t="s">
        <v>16</v>
      </c>
      <c r="O321" s="4" t="s">
        <v>17</v>
      </c>
      <c r="P321" s="18" t="s">
        <v>350</v>
      </c>
      <c r="Q321" s="5">
        <f t="shared" si="16"/>
        <v>8.1920000000000002</v>
      </c>
      <c r="R321" s="5">
        <f t="shared" si="17"/>
        <v>5.17</v>
      </c>
      <c r="S321" s="5">
        <f t="shared" si="18"/>
        <v>0.53500000000000003</v>
      </c>
      <c r="T321" s="23">
        <f>('Investor-Inputs'!$G$19 * Q321) + ('Investor-Inputs'!$J$19 * R321) + ('Investor-Inputs'!$N$19 * S321)</f>
        <v>35.450999999999993</v>
      </c>
      <c r="U321" s="27">
        <f t="shared" si="19"/>
        <v>383</v>
      </c>
    </row>
    <row r="322" spans="3:21" x14ac:dyDescent="0.25">
      <c r="C322" s="2" t="s">
        <v>42</v>
      </c>
      <c r="D322" s="2">
        <v>5</v>
      </c>
      <c r="E322" s="2" t="s">
        <v>14</v>
      </c>
      <c r="F322" s="2" t="s">
        <v>15</v>
      </c>
      <c r="G322" s="3">
        <v>3.05</v>
      </c>
      <c r="H322" s="3">
        <v>-3.29</v>
      </c>
      <c r="I322" s="3">
        <v>16.16</v>
      </c>
      <c r="J322" s="3">
        <v>7.34</v>
      </c>
      <c r="K322" s="3">
        <v>17.079999999999998</v>
      </c>
      <c r="L322" s="21">
        <v>12.88</v>
      </c>
      <c r="M322" s="3">
        <v>2.08</v>
      </c>
      <c r="N322" s="2" t="s">
        <v>16</v>
      </c>
      <c r="O322" s="4" t="s">
        <v>17</v>
      </c>
      <c r="P322" s="18" t="s">
        <v>350</v>
      </c>
      <c r="Q322" s="5">
        <f t="shared" si="16"/>
        <v>15.004</v>
      </c>
      <c r="R322" s="5">
        <f t="shared" si="17"/>
        <v>10.11</v>
      </c>
      <c r="S322" s="5">
        <f t="shared" si="18"/>
        <v>9.5799999999999983</v>
      </c>
      <c r="T322" s="23">
        <f>('Investor-Inputs'!$G$19 * Q322) + ('Investor-Inputs'!$J$19 * R322) + ('Investor-Inputs'!$N$19 * S322)</f>
        <v>74.811999999999998</v>
      </c>
      <c r="U322" s="27">
        <f t="shared" si="19"/>
        <v>162</v>
      </c>
    </row>
    <row r="323" spans="3:21" x14ac:dyDescent="0.25">
      <c r="C323" s="2" t="s">
        <v>43</v>
      </c>
      <c r="D323" s="2">
        <v>4</v>
      </c>
      <c r="E323" s="2" t="s">
        <v>14</v>
      </c>
      <c r="F323" s="2" t="s">
        <v>15</v>
      </c>
      <c r="G323" s="3">
        <v>9.02</v>
      </c>
      <c r="H323" s="3">
        <v>7.57</v>
      </c>
      <c r="I323" s="3">
        <v>21.18</v>
      </c>
      <c r="J323" s="3">
        <v>11.12</v>
      </c>
      <c r="K323" s="3">
        <v>15.23</v>
      </c>
      <c r="L323" s="21">
        <v>13.65</v>
      </c>
      <c r="M323" s="3">
        <v>0.3</v>
      </c>
      <c r="N323" s="2" t="s">
        <v>16</v>
      </c>
      <c r="O323" s="4" t="s">
        <v>28</v>
      </c>
      <c r="P323" s="18" t="s">
        <v>350</v>
      </c>
      <c r="Q323" s="5">
        <f t="shared" si="16"/>
        <v>16.087</v>
      </c>
      <c r="R323" s="5">
        <f t="shared" si="17"/>
        <v>12.385</v>
      </c>
      <c r="S323" s="5">
        <f t="shared" si="18"/>
        <v>7.7650000000000006</v>
      </c>
      <c r="T323" s="23">
        <f>('Investor-Inputs'!$G$19 * Q323) + ('Investor-Inputs'!$J$19 * R323) + ('Investor-Inputs'!$N$19 * S323)</f>
        <v>80.795999999999992</v>
      </c>
      <c r="U323" s="27">
        <f t="shared" si="19"/>
        <v>130</v>
      </c>
    </row>
    <row r="324" spans="3:21" x14ac:dyDescent="0.25">
      <c r="C324" s="2" t="s">
        <v>44</v>
      </c>
      <c r="D324" s="2">
        <v>4</v>
      </c>
      <c r="E324" s="2" t="s">
        <v>14</v>
      </c>
      <c r="F324" s="2" t="s">
        <v>15</v>
      </c>
      <c r="G324" s="3">
        <v>2.3199999999999998</v>
      </c>
      <c r="H324" s="3">
        <v>-2.17</v>
      </c>
      <c r="I324" s="3">
        <v>12.03</v>
      </c>
      <c r="J324" s="3">
        <v>6.1</v>
      </c>
      <c r="K324" s="3"/>
      <c r="L324" s="21"/>
      <c r="M324" s="3">
        <v>1.47</v>
      </c>
      <c r="N324" s="2" t="s">
        <v>16</v>
      </c>
      <c r="O324" s="4" t="s">
        <v>24</v>
      </c>
      <c r="P324" s="18" t="s">
        <v>350</v>
      </c>
      <c r="Q324" s="5">
        <f t="shared" si="16"/>
        <v>4.8120000000000003</v>
      </c>
      <c r="R324" s="5">
        <f t="shared" si="17"/>
        <v>3.05</v>
      </c>
      <c r="S324" s="5">
        <f t="shared" si="18"/>
        <v>0.73499999999999999</v>
      </c>
      <c r="T324" s="23">
        <f>('Investor-Inputs'!$G$19 * Q324) + ('Investor-Inputs'!$J$19 * R324) + ('Investor-Inputs'!$N$19 * S324)</f>
        <v>21.271000000000001</v>
      </c>
      <c r="U324" s="27">
        <f t="shared" si="19"/>
        <v>574</v>
      </c>
    </row>
    <row r="325" spans="3:21" x14ac:dyDescent="0.25">
      <c r="C325" s="2" t="s">
        <v>45</v>
      </c>
      <c r="D325" s="2">
        <v>5</v>
      </c>
      <c r="E325" s="2" t="s">
        <v>14</v>
      </c>
      <c r="F325" s="2" t="s">
        <v>15</v>
      </c>
      <c r="G325" s="3">
        <v>8.24</v>
      </c>
      <c r="H325" s="3">
        <v>6.83</v>
      </c>
      <c r="I325" s="3">
        <v>20.71</v>
      </c>
      <c r="J325" s="3">
        <v>10.59</v>
      </c>
      <c r="K325" s="2"/>
      <c r="L325" s="20"/>
      <c r="M325" s="3">
        <v>0.71</v>
      </c>
      <c r="N325" s="2" t="s">
        <v>16</v>
      </c>
      <c r="O325" s="4" t="s">
        <v>28</v>
      </c>
      <c r="P325" s="18" t="s">
        <v>350</v>
      </c>
      <c r="Q325" s="5">
        <f t="shared" si="16"/>
        <v>8.2840000000000007</v>
      </c>
      <c r="R325" s="5">
        <f t="shared" si="17"/>
        <v>5.2949999999999999</v>
      </c>
      <c r="S325" s="5">
        <f t="shared" si="18"/>
        <v>0.35499999999999998</v>
      </c>
      <c r="T325" s="23">
        <f>('Investor-Inputs'!$G$19 * Q325) + ('Investor-Inputs'!$J$19 * R325) + ('Investor-Inputs'!$N$19 * S325)</f>
        <v>35.797000000000004</v>
      </c>
      <c r="U325" s="27">
        <f t="shared" si="19"/>
        <v>359</v>
      </c>
    </row>
    <row r="326" spans="3:21" x14ac:dyDescent="0.25">
      <c r="C326" s="2" t="s">
        <v>46</v>
      </c>
      <c r="D326" s="2">
        <v>4</v>
      </c>
      <c r="E326" s="2" t="s">
        <v>14</v>
      </c>
      <c r="F326" s="2" t="s">
        <v>15</v>
      </c>
      <c r="G326" s="3">
        <v>7.83</v>
      </c>
      <c r="H326" s="3">
        <v>5.0199999999999996</v>
      </c>
      <c r="I326" s="3">
        <v>17.79</v>
      </c>
      <c r="J326" s="3">
        <v>9.5500000000000007</v>
      </c>
      <c r="K326" s="3">
        <v>14.25</v>
      </c>
      <c r="L326" s="21">
        <v>12.35</v>
      </c>
      <c r="M326" s="3">
        <v>1.06</v>
      </c>
      <c r="N326" s="2" t="s">
        <v>16</v>
      </c>
      <c r="O326" s="4" t="s">
        <v>17</v>
      </c>
      <c r="P326" s="18" t="s">
        <v>350</v>
      </c>
      <c r="Q326" s="5">
        <f t="shared" si="16"/>
        <v>14.241</v>
      </c>
      <c r="R326" s="5">
        <f t="shared" si="17"/>
        <v>10.95</v>
      </c>
      <c r="S326" s="5">
        <f t="shared" si="18"/>
        <v>7.6550000000000002</v>
      </c>
      <c r="T326" s="23">
        <f>('Investor-Inputs'!$G$19 * Q326) + ('Investor-Inputs'!$J$19 * R326) + ('Investor-Inputs'!$N$19 * S326)</f>
        <v>72.277999999999992</v>
      </c>
      <c r="U326" s="27">
        <f t="shared" si="19"/>
        <v>182</v>
      </c>
    </row>
    <row r="327" spans="3:21" x14ac:dyDescent="0.25">
      <c r="C327" s="2" t="s">
        <v>47</v>
      </c>
      <c r="D327" s="2">
        <v>4</v>
      </c>
      <c r="E327" s="2" t="s">
        <v>14</v>
      </c>
      <c r="F327" s="2" t="s">
        <v>15</v>
      </c>
      <c r="G327" s="3">
        <v>2.52</v>
      </c>
      <c r="H327" s="3">
        <v>-1.62</v>
      </c>
      <c r="I327" s="3">
        <v>13.25</v>
      </c>
      <c r="J327" s="3">
        <v>6.04</v>
      </c>
      <c r="K327" s="3">
        <v>12.53</v>
      </c>
      <c r="L327" s="21">
        <v>9.59</v>
      </c>
      <c r="M327" s="3">
        <v>2.33</v>
      </c>
      <c r="N327" s="2" t="s">
        <v>16</v>
      </c>
      <c r="O327" s="4" t="s">
        <v>17</v>
      </c>
      <c r="P327" s="18" t="s">
        <v>350</v>
      </c>
      <c r="Q327" s="5">
        <f t="shared" si="16"/>
        <v>11.565000000000001</v>
      </c>
      <c r="R327" s="5">
        <f t="shared" si="17"/>
        <v>7.8149999999999995</v>
      </c>
      <c r="S327" s="5">
        <f t="shared" si="18"/>
        <v>7.43</v>
      </c>
      <c r="T327" s="23">
        <f>('Investor-Inputs'!$G$19 * Q327) + ('Investor-Inputs'!$J$19 * R327) + ('Investor-Inputs'!$N$19 * S327)</f>
        <v>57.755000000000003</v>
      </c>
      <c r="U327" s="27">
        <f t="shared" si="19"/>
        <v>244</v>
      </c>
    </row>
    <row r="328" spans="3:21" x14ac:dyDescent="0.25">
      <c r="C328" s="2" t="s">
        <v>48</v>
      </c>
      <c r="D328" s="2">
        <v>4</v>
      </c>
      <c r="E328" s="2" t="s">
        <v>14</v>
      </c>
      <c r="F328" s="2" t="s">
        <v>15</v>
      </c>
      <c r="G328" s="3">
        <v>1.28</v>
      </c>
      <c r="H328" s="3">
        <v>-4.43</v>
      </c>
      <c r="I328" s="3">
        <v>15.01</v>
      </c>
      <c r="J328" s="3">
        <v>7.07</v>
      </c>
      <c r="K328" s="2"/>
      <c r="L328" s="20"/>
      <c r="M328" s="3">
        <v>2.63</v>
      </c>
      <c r="N328" s="2" t="s">
        <v>16</v>
      </c>
      <c r="O328" s="4" t="s">
        <v>17</v>
      </c>
      <c r="P328" s="18" t="s">
        <v>350</v>
      </c>
      <c r="Q328" s="5">
        <f t="shared" ref="Q328:Q391" si="20">I328*0.4+K328*0.5</f>
        <v>6.0040000000000004</v>
      </c>
      <c r="R328" s="5">
        <f t="shared" ref="R328:R391" si="21">(L328+J328)/2</f>
        <v>3.5350000000000001</v>
      </c>
      <c r="S328" s="5">
        <f t="shared" ref="S328:S391" si="22">(M328+K328)/2</f>
        <v>1.3149999999999999</v>
      </c>
      <c r="T328" s="23">
        <f>('Investor-Inputs'!$G$19 * Q328) + ('Investor-Inputs'!$J$19 * R328) + ('Investor-Inputs'!$N$19 * S328)</f>
        <v>26.397000000000002</v>
      </c>
      <c r="U328" s="27">
        <f t="shared" ref="U328:U391" si="23">_xlfn.RANK.EQ(T328,$T$7:$T$592,0)</f>
        <v>566</v>
      </c>
    </row>
    <row r="329" spans="3:21" x14ac:dyDescent="0.25">
      <c r="C329" s="2" t="s">
        <v>49</v>
      </c>
      <c r="D329" s="2">
        <v>5</v>
      </c>
      <c r="E329" s="2" t="s">
        <v>14</v>
      </c>
      <c r="F329" s="2" t="s">
        <v>50</v>
      </c>
      <c r="G329" s="3">
        <v>9.77</v>
      </c>
      <c r="H329" s="3">
        <v>5.76</v>
      </c>
      <c r="I329" s="3">
        <v>23.13</v>
      </c>
      <c r="J329" s="3">
        <v>13.09</v>
      </c>
      <c r="K329" s="3">
        <v>19.12</v>
      </c>
      <c r="L329" s="21">
        <v>17.22</v>
      </c>
      <c r="M329" s="3">
        <v>2.9</v>
      </c>
      <c r="N329" s="2" t="s">
        <v>16</v>
      </c>
      <c r="O329" s="4" t="s">
        <v>28</v>
      </c>
      <c r="P329" s="18" t="s">
        <v>350</v>
      </c>
      <c r="Q329" s="5">
        <f t="shared" si="20"/>
        <v>18.812000000000001</v>
      </c>
      <c r="R329" s="5">
        <f t="shared" si="21"/>
        <v>15.154999999999999</v>
      </c>
      <c r="S329" s="5">
        <f t="shared" si="22"/>
        <v>11.01</v>
      </c>
      <c r="T329" s="23">
        <f>('Investor-Inputs'!$G$19 * Q329) + ('Investor-Inputs'!$J$19 * R329) + ('Investor-Inputs'!$N$19 * S329)</f>
        <v>97.756000000000014</v>
      </c>
      <c r="U329" s="27">
        <f t="shared" si="23"/>
        <v>53</v>
      </c>
    </row>
    <row r="330" spans="3:21" x14ac:dyDescent="0.25">
      <c r="C330" s="2" t="s">
        <v>51</v>
      </c>
      <c r="D330" s="2">
        <v>4</v>
      </c>
      <c r="E330" s="2" t="s">
        <v>14</v>
      </c>
      <c r="F330" s="2" t="s">
        <v>50</v>
      </c>
      <c r="G330" s="3">
        <v>1.71</v>
      </c>
      <c r="H330" s="3">
        <v>-3</v>
      </c>
      <c r="I330" s="3">
        <v>18.399999999999999</v>
      </c>
      <c r="J330" s="3">
        <v>8.3000000000000007</v>
      </c>
      <c r="K330" s="3">
        <v>15.02</v>
      </c>
      <c r="L330" s="21">
        <v>12.74</v>
      </c>
      <c r="M330" s="3">
        <v>2.12</v>
      </c>
      <c r="N330" s="2" t="s">
        <v>16</v>
      </c>
      <c r="O330" s="4" t="s">
        <v>17</v>
      </c>
      <c r="P330" s="18" t="s">
        <v>350</v>
      </c>
      <c r="Q330" s="5">
        <f t="shared" si="20"/>
        <v>14.87</v>
      </c>
      <c r="R330" s="5">
        <f t="shared" si="21"/>
        <v>10.52</v>
      </c>
      <c r="S330" s="5">
        <f t="shared" si="22"/>
        <v>8.57</v>
      </c>
      <c r="T330" s="23">
        <f>('Investor-Inputs'!$G$19 * Q330) + ('Investor-Inputs'!$J$19 * R330) + ('Investor-Inputs'!$N$19 * S330)</f>
        <v>74.22</v>
      </c>
      <c r="U330" s="27">
        <f t="shared" si="23"/>
        <v>166</v>
      </c>
    </row>
    <row r="331" spans="3:21" x14ac:dyDescent="0.25">
      <c r="C331" s="2" t="s">
        <v>52</v>
      </c>
      <c r="D331" s="2">
        <v>4</v>
      </c>
      <c r="E331" s="2" t="s">
        <v>14</v>
      </c>
      <c r="F331" s="2" t="s">
        <v>50</v>
      </c>
      <c r="G331" s="3">
        <v>3.83</v>
      </c>
      <c r="H331" s="3">
        <v>-2.27</v>
      </c>
      <c r="I331" s="3">
        <v>17.899999999999999</v>
      </c>
      <c r="J331" s="3">
        <v>7.49</v>
      </c>
      <c r="K331" s="3">
        <v>17.559999999999999</v>
      </c>
      <c r="L331" s="21">
        <v>13.3</v>
      </c>
      <c r="M331" s="3">
        <v>1.59</v>
      </c>
      <c r="N331" s="2" t="s">
        <v>16</v>
      </c>
      <c r="O331" s="4" t="s">
        <v>17</v>
      </c>
      <c r="P331" s="18" t="s">
        <v>350</v>
      </c>
      <c r="Q331" s="5">
        <f t="shared" si="20"/>
        <v>15.94</v>
      </c>
      <c r="R331" s="5">
        <f t="shared" si="21"/>
        <v>10.395</v>
      </c>
      <c r="S331" s="5">
        <f t="shared" si="22"/>
        <v>9.5749999999999993</v>
      </c>
      <c r="T331" s="23">
        <f>('Investor-Inputs'!$G$19 * Q331) + ('Investor-Inputs'!$J$19 * R331) + ('Investor-Inputs'!$N$19 * S331)</f>
        <v>78.185000000000002</v>
      </c>
      <c r="U331" s="27">
        <f t="shared" si="23"/>
        <v>142</v>
      </c>
    </row>
    <row r="332" spans="3:21" x14ac:dyDescent="0.25">
      <c r="C332" s="2" t="s">
        <v>53</v>
      </c>
      <c r="D332" s="2">
        <v>5</v>
      </c>
      <c r="E332" s="2" t="s">
        <v>14</v>
      </c>
      <c r="F332" s="2" t="s">
        <v>50</v>
      </c>
      <c r="G332" s="3">
        <v>4.76</v>
      </c>
      <c r="H332" s="3">
        <v>-0.1</v>
      </c>
      <c r="I332" s="3">
        <v>19.510000000000002</v>
      </c>
      <c r="J332" s="3">
        <v>10.55</v>
      </c>
      <c r="K332" s="3">
        <v>19.350000000000001</v>
      </c>
      <c r="L332" s="21">
        <v>15.25</v>
      </c>
      <c r="M332" s="3">
        <v>2.3199999999999998</v>
      </c>
      <c r="N332" s="2" t="s">
        <v>16</v>
      </c>
      <c r="O332" s="4" t="s">
        <v>17</v>
      </c>
      <c r="P332" s="18" t="s">
        <v>350</v>
      </c>
      <c r="Q332" s="5">
        <f t="shared" si="20"/>
        <v>17.479000000000003</v>
      </c>
      <c r="R332" s="5">
        <f t="shared" si="21"/>
        <v>12.9</v>
      </c>
      <c r="S332" s="5">
        <f t="shared" si="22"/>
        <v>10.835000000000001</v>
      </c>
      <c r="T332" s="23">
        <f>('Investor-Inputs'!$G$19 * Q332) + ('Investor-Inputs'!$J$19 * R332) + ('Investor-Inputs'!$N$19 * S332)</f>
        <v>89.072000000000003</v>
      </c>
      <c r="U332" s="27">
        <f t="shared" si="23"/>
        <v>83</v>
      </c>
    </row>
    <row r="333" spans="3:21" x14ac:dyDescent="0.25">
      <c r="C333" s="2" t="s">
        <v>54</v>
      </c>
      <c r="D333" s="2">
        <v>4</v>
      </c>
      <c r="E333" s="2" t="s">
        <v>14</v>
      </c>
      <c r="F333" s="2" t="s">
        <v>50</v>
      </c>
      <c r="G333" s="3">
        <v>8.69</v>
      </c>
      <c r="H333" s="3">
        <v>0.98</v>
      </c>
      <c r="I333" s="3">
        <v>23.14</v>
      </c>
      <c r="J333" s="3">
        <v>13.51</v>
      </c>
      <c r="K333" s="3">
        <v>17.71</v>
      </c>
      <c r="L333" s="21">
        <v>16.59</v>
      </c>
      <c r="M333" s="3">
        <v>1.9</v>
      </c>
      <c r="N333" s="2" t="s">
        <v>16</v>
      </c>
      <c r="O333" s="4" t="s">
        <v>28</v>
      </c>
      <c r="P333" s="18" t="s">
        <v>350</v>
      </c>
      <c r="Q333" s="5">
        <f t="shared" si="20"/>
        <v>18.111000000000001</v>
      </c>
      <c r="R333" s="5">
        <f t="shared" si="21"/>
        <v>15.05</v>
      </c>
      <c r="S333" s="5">
        <f t="shared" si="22"/>
        <v>9.8049999999999997</v>
      </c>
      <c r="T333" s="23">
        <f>('Investor-Inputs'!$G$19 * Q333) + ('Investor-Inputs'!$J$19 * R333) + ('Investor-Inputs'!$N$19 * S333)</f>
        <v>94.238</v>
      </c>
      <c r="U333" s="27">
        <f t="shared" si="23"/>
        <v>61</v>
      </c>
    </row>
    <row r="334" spans="3:21" x14ac:dyDescent="0.25">
      <c r="C334" s="2" t="s">
        <v>55</v>
      </c>
      <c r="D334" s="2">
        <v>4</v>
      </c>
      <c r="E334" s="2" t="s">
        <v>14</v>
      </c>
      <c r="F334" s="2" t="s">
        <v>50</v>
      </c>
      <c r="G334" s="3">
        <v>15.63</v>
      </c>
      <c r="H334" s="3">
        <v>9.31</v>
      </c>
      <c r="I334" s="3">
        <v>25.52</v>
      </c>
      <c r="J334" s="3">
        <v>15.88</v>
      </c>
      <c r="K334" s="3">
        <v>20.97</v>
      </c>
      <c r="L334" s="21">
        <v>19.38</v>
      </c>
      <c r="M334" s="3">
        <v>1.91</v>
      </c>
      <c r="N334" s="2" t="s">
        <v>16</v>
      </c>
      <c r="O334" s="4" t="s">
        <v>28</v>
      </c>
      <c r="P334" s="18" t="s">
        <v>350</v>
      </c>
      <c r="Q334" s="5">
        <f t="shared" si="20"/>
        <v>20.692999999999998</v>
      </c>
      <c r="R334" s="5">
        <f t="shared" si="21"/>
        <v>17.63</v>
      </c>
      <c r="S334" s="5">
        <f t="shared" si="22"/>
        <v>11.44</v>
      </c>
      <c r="T334" s="23">
        <f>('Investor-Inputs'!$G$19 * Q334) + ('Investor-Inputs'!$J$19 * R334) + ('Investor-Inputs'!$N$19 * S334)</f>
        <v>108.779</v>
      </c>
      <c r="U334" s="27">
        <f t="shared" si="23"/>
        <v>35</v>
      </c>
    </row>
    <row r="335" spans="3:21" x14ac:dyDescent="0.25">
      <c r="C335" s="2" t="s">
        <v>56</v>
      </c>
      <c r="D335" s="2">
        <v>4</v>
      </c>
      <c r="E335" s="2" t="s">
        <v>14</v>
      </c>
      <c r="F335" s="2" t="s">
        <v>50</v>
      </c>
      <c r="G335" s="3">
        <v>3.77</v>
      </c>
      <c r="H335" s="3">
        <v>-0.43</v>
      </c>
      <c r="I335" s="3">
        <v>19.32</v>
      </c>
      <c r="J335" s="3">
        <v>9.7200000000000006</v>
      </c>
      <c r="K335" s="3">
        <v>16.649999999999999</v>
      </c>
      <c r="L335" s="21">
        <v>13.98</v>
      </c>
      <c r="M335" s="3">
        <v>1.8</v>
      </c>
      <c r="N335" s="2" t="s">
        <v>16</v>
      </c>
      <c r="O335" s="4" t="s">
        <v>17</v>
      </c>
      <c r="P335" s="18" t="s">
        <v>350</v>
      </c>
      <c r="Q335" s="5">
        <f t="shared" si="20"/>
        <v>16.053000000000001</v>
      </c>
      <c r="R335" s="5">
        <f t="shared" si="21"/>
        <v>11.850000000000001</v>
      </c>
      <c r="S335" s="5">
        <f t="shared" si="22"/>
        <v>9.2249999999999996</v>
      </c>
      <c r="T335" s="23">
        <f>('Investor-Inputs'!$G$19 * Q335) + ('Investor-Inputs'!$J$19 * R335) + ('Investor-Inputs'!$N$19 * S335)</f>
        <v>81.084000000000003</v>
      </c>
      <c r="U335" s="27">
        <f t="shared" si="23"/>
        <v>124</v>
      </c>
    </row>
    <row r="336" spans="3:21" x14ac:dyDescent="0.25">
      <c r="C336" s="2" t="s">
        <v>57</v>
      </c>
      <c r="D336" s="2">
        <v>4</v>
      </c>
      <c r="E336" s="2" t="s">
        <v>14</v>
      </c>
      <c r="F336" s="2" t="s">
        <v>50</v>
      </c>
      <c r="G336" s="3">
        <v>7.36</v>
      </c>
      <c r="H336" s="3">
        <v>1</v>
      </c>
      <c r="I336" s="3">
        <v>16.09</v>
      </c>
      <c r="J336" s="3">
        <v>9.1</v>
      </c>
      <c r="K336" s="3">
        <v>16.53</v>
      </c>
      <c r="L336" s="21">
        <v>12.82</v>
      </c>
      <c r="M336" s="3">
        <v>1.72</v>
      </c>
      <c r="N336" s="2" t="s">
        <v>16</v>
      </c>
      <c r="O336" s="4" t="s">
        <v>24</v>
      </c>
      <c r="P336" s="18" t="s">
        <v>350</v>
      </c>
      <c r="Q336" s="5">
        <f t="shared" si="20"/>
        <v>14.701000000000001</v>
      </c>
      <c r="R336" s="5">
        <f t="shared" si="21"/>
        <v>10.96</v>
      </c>
      <c r="S336" s="5">
        <f t="shared" si="22"/>
        <v>9.125</v>
      </c>
      <c r="T336" s="23">
        <f>('Investor-Inputs'!$G$19 * Q336) + ('Investor-Inputs'!$J$19 * R336) + ('Investor-Inputs'!$N$19 * S336)</f>
        <v>75.147999999999996</v>
      </c>
      <c r="U336" s="27">
        <f t="shared" si="23"/>
        <v>156</v>
      </c>
    </row>
    <row r="337" spans="3:21" x14ac:dyDescent="0.25">
      <c r="C337" s="2" t="s">
        <v>58</v>
      </c>
      <c r="D337" s="2">
        <v>5</v>
      </c>
      <c r="E337" s="2" t="s">
        <v>14</v>
      </c>
      <c r="F337" s="2" t="s">
        <v>50</v>
      </c>
      <c r="G337" s="3">
        <v>6.37</v>
      </c>
      <c r="H337" s="3">
        <v>2.1</v>
      </c>
      <c r="I337" s="3">
        <v>20.12</v>
      </c>
      <c r="J337" s="3">
        <v>10.84</v>
      </c>
      <c r="K337" s="3">
        <v>17.61</v>
      </c>
      <c r="L337" s="21">
        <v>15.01</v>
      </c>
      <c r="M337" s="3">
        <v>1.85</v>
      </c>
      <c r="N337" s="2" t="s">
        <v>16</v>
      </c>
      <c r="O337" s="4" t="s">
        <v>17</v>
      </c>
      <c r="P337" s="18" t="s">
        <v>350</v>
      </c>
      <c r="Q337" s="5">
        <f t="shared" si="20"/>
        <v>16.853000000000002</v>
      </c>
      <c r="R337" s="5">
        <f t="shared" si="21"/>
        <v>12.925000000000001</v>
      </c>
      <c r="S337" s="5">
        <f t="shared" si="22"/>
        <v>9.73</v>
      </c>
      <c r="T337" s="23">
        <f>('Investor-Inputs'!$G$19 * Q337) + ('Investor-Inputs'!$J$19 * R337) + ('Investor-Inputs'!$N$19 * S337)</f>
        <v>86.13900000000001</v>
      </c>
      <c r="U337" s="27">
        <f t="shared" si="23"/>
        <v>106</v>
      </c>
    </row>
    <row r="338" spans="3:21" x14ac:dyDescent="0.25">
      <c r="C338" s="2" t="s">
        <v>59</v>
      </c>
      <c r="D338" s="2">
        <v>4</v>
      </c>
      <c r="E338" s="2" t="s">
        <v>14</v>
      </c>
      <c r="F338" s="2" t="s">
        <v>60</v>
      </c>
      <c r="G338" s="3">
        <v>6.66</v>
      </c>
      <c r="H338" s="3">
        <v>2.86</v>
      </c>
      <c r="I338" s="3">
        <v>17.36</v>
      </c>
      <c r="J338" s="3">
        <v>10.210000000000001</v>
      </c>
      <c r="K338" s="3">
        <v>13.7</v>
      </c>
      <c r="L338" s="21">
        <v>12.34</v>
      </c>
      <c r="M338" s="3">
        <v>1.6</v>
      </c>
      <c r="N338" s="2" t="s">
        <v>16</v>
      </c>
      <c r="O338" s="4" t="s">
        <v>17</v>
      </c>
      <c r="P338" s="18" t="s">
        <v>350</v>
      </c>
      <c r="Q338" s="5">
        <f t="shared" si="20"/>
        <v>13.794</v>
      </c>
      <c r="R338" s="5">
        <f t="shared" si="21"/>
        <v>11.275</v>
      </c>
      <c r="S338" s="5">
        <f t="shared" si="22"/>
        <v>7.6499999999999995</v>
      </c>
      <c r="T338" s="23">
        <f>('Investor-Inputs'!$G$19 * Q338) + ('Investor-Inputs'!$J$19 * R338) + ('Investor-Inputs'!$N$19 * S338)</f>
        <v>71.582000000000008</v>
      </c>
      <c r="U338" s="27">
        <f t="shared" si="23"/>
        <v>186</v>
      </c>
    </row>
    <row r="339" spans="3:21" x14ac:dyDescent="0.25">
      <c r="C339" s="2" t="s">
        <v>61</v>
      </c>
      <c r="D339" s="2">
        <v>4</v>
      </c>
      <c r="E339" s="2" t="s">
        <v>14</v>
      </c>
      <c r="F339" s="2" t="s">
        <v>60</v>
      </c>
      <c r="G339" s="3">
        <v>14.82</v>
      </c>
      <c r="H339" s="3">
        <v>11.25</v>
      </c>
      <c r="I339" s="3">
        <v>21.8</v>
      </c>
      <c r="J339" s="3">
        <v>12.44</v>
      </c>
      <c r="K339" s="3">
        <v>18.510000000000002</v>
      </c>
      <c r="L339" s="21">
        <v>16.03</v>
      </c>
      <c r="M339" s="3">
        <v>2.96</v>
      </c>
      <c r="N339" s="2" t="s">
        <v>16</v>
      </c>
      <c r="O339" s="4" t="s">
        <v>28</v>
      </c>
      <c r="P339" s="18" t="s">
        <v>350</v>
      </c>
      <c r="Q339" s="5">
        <f t="shared" si="20"/>
        <v>17.975000000000001</v>
      </c>
      <c r="R339" s="5">
        <f t="shared" si="21"/>
        <v>14.234999999999999</v>
      </c>
      <c r="S339" s="5">
        <f t="shared" si="22"/>
        <v>10.735000000000001</v>
      </c>
      <c r="T339" s="23">
        <f>('Investor-Inputs'!$G$19 * Q339) + ('Investor-Inputs'!$J$19 * R339) + ('Investor-Inputs'!$N$19 * S339)</f>
        <v>93.13000000000001</v>
      </c>
      <c r="U339" s="27">
        <f t="shared" si="23"/>
        <v>71</v>
      </c>
    </row>
    <row r="340" spans="3:21" x14ac:dyDescent="0.25">
      <c r="C340" s="2" t="s">
        <v>62</v>
      </c>
      <c r="D340" s="2">
        <v>4</v>
      </c>
      <c r="E340" s="2" t="s">
        <v>14</v>
      </c>
      <c r="F340" s="2" t="s">
        <v>60</v>
      </c>
      <c r="G340" s="3">
        <v>1.98</v>
      </c>
      <c r="H340" s="3">
        <v>-6.64</v>
      </c>
      <c r="I340" s="3">
        <v>14.93</v>
      </c>
      <c r="J340" s="3">
        <v>6.59</v>
      </c>
      <c r="K340" s="2"/>
      <c r="L340" s="20"/>
      <c r="M340" s="3">
        <v>2.09</v>
      </c>
      <c r="N340" s="2" t="s">
        <v>16</v>
      </c>
      <c r="O340" s="4" t="s">
        <v>24</v>
      </c>
      <c r="P340" s="18" t="s">
        <v>350</v>
      </c>
      <c r="Q340" s="5">
        <f t="shared" si="20"/>
        <v>5.9720000000000004</v>
      </c>
      <c r="R340" s="5">
        <f t="shared" si="21"/>
        <v>3.2949999999999999</v>
      </c>
      <c r="S340" s="5">
        <f t="shared" si="22"/>
        <v>1.0449999999999999</v>
      </c>
      <c r="T340" s="23">
        <f>('Investor-Inputs'!$G$19 * Q340) + ('Investor-Inputs'!$J$19 * R340) + ('Investor-Inputs'!$N$19 * S340)</f>
        <v>25.551000000000002</v>
      </c>
      <c r="U340" s="27">
        <f t="shared" si="23"/>
        <v>568</v>
      </c>
    </row>
    <row r="341" spans="3:21" x14ac:dyDescent="0.25">
      <c r="C341" s="2" t="s">
        <v>63</v>
      </c>
      <c r="D341" s="2">
        <v>4</v>
      </c>
      <c r="E341" s="2" t="s">
        <v>14</v>
      </c>
      <c r="F341" s="2" t="s">
        <v>60</v>
      </c>
      <c r="G341" s="3">
        <v>4.7300000000000004</v>
      </c>
      <c r="H341" s="3">
        <v>-0.41</v>
      </c>
      <c r="I341" s="3">
        <v>17.16</v>
      </c>
      <c r="J341" s="3">
        <v>8.5500000000000007</v>
      </c>
      <c r="K341" s="3">
        <v>15.17</v>
      </c>
      <c r="L341" s="21">
        <v>12.36</v>
      </c>
      <c r="M341" s="3">
        <v>1.92</v>
      </c>
      <c r="N341" s="2" t="s">
        <v>16</v>
      </c>
      <c r="O341" s="4" t="s">
        <v>17</v>
      </c>
      <c r="P341" s="18" t="s">
        <v>350</v>
      </c>
      <c r="Q341" s="5">
        <f t="shared" si="20"/>
        <v>14.449000000000002</v>
      </c>
      <c r="R341" s="5">
        <f t="shared" si="21"/>
        <v>10.455</v>
      </c>
      <c r="S341" s="5">
        <f t="shared" si="22"/>
        <v>8.5449999999999999</v>
      </c>
      <c r="T341" s="23">
        <f>('Investor-Inputs'!$G$19 * Q341) + ('Investor-Inputs'!$J$19 * R341) + ('Investor-Inputs'!$N$19 * S341)</f>
        <v>72.802000000000007</v>
      </c>
      <c r="U341" s="27">
        <f t="shared" si="23"/>
        <v>178</v>
      </c>
    </row>
    <row r="342" spans="3:21" x14ac:dyDescent="0.25">
      <c r="C342" s="2" t="s">
        <v>64</v>
      </c>
      <c r="D342" s="2">
        <v>4</v>
      </c>
      <c r="E342" s="2" t="s">
        <v>14</v>
      </c>
      <c r="F342" s="2" t="s">
        <v>60</v>
      </c>
      <c r="G342" s="3">
        <v>2.37</v>
      </c>
      <c r="H342" s="3">
        <v>-2.2400000000000002</v>
      </c>
      <c r="I342" s="3">
        <v>15.37</v>
      </c>
      <c r="J342" s="3">
        <v>6.9</v>
      </c>
      <c r="K342" s="2"/>
      <c r="L342" s="20"/>
      <c r="M342" s="3">
        <v>2.23</v>
      </c>
      <c r="N342" s="2" t="s">
        <v>16</v>
      </c>
      <c r="O342" s="4" t="s">
        <v>17</v>
      </c>
      <c r="P342" s="18" t="s">
        <v>350</v>
      </c>
      <c r="Q342" s="5">
        <f t="shared" si="20"/>
        <v>6.1479999999999997</v>
      </c>
      <c r="R342" s="5">
        <f t="shared" si="21"/>
        <v>3.45</v>
      </c>
      <c r="S342" s="5">
        <f t="shared" si="22"/>
        <v>1.115</v>
      </c>
      <c r="T342" s="23">
        <f>('Investor-Inputs'!$G$19 * Q342) + ('Investor-Inputs'!$J$19 * R342) + ('Investor-Inputs'!$N$19 * S342)</f>
        <v>26.459</v>
      </c>
      <c r="U342" s="27">
        <f t="shared" si="23"/>
        <v>564</v>
      </c>
    </row>
    <row r="343" spans="3:21" x14ac:dyDescent="0.25">
      <c r="C343" s="2" t="s">
        <v>65</v>
      </c>
      <c r="D343" s="2">
        <v>4</v>
      </c>
      <c r="E343" s="2" t="s">
        <v>14</v>
      </c>
      <c r="F343" s="2" t="s">
        <v>60</v>
      </c>
      <c r="G343" s="3">
        <v>-1.39</v>
      </c>
      <c r="H343" s="3">
        <v>-6.27</v>
      </c>
      <c r="I343" s="3">
        <v>16</v>
      </c>
      <c r="J343" s="3">
        <v>5.83</v>
      </c>
      <c r="K343" s="3">
        <v>15.39</v>
      </c>
      <c r="L343" s="21">
        <v>11.21</v>
      </c>
      <c r="M343" s="3">
        <v>1.71</v>
      </c>
      <c r="N343" s="2" t="s">
        <v>16</v>
      </c>
      <c r="O343" s="4" t="s">
        <v>17</v>
      </c>
      <c r="P343" s="18" t="s">
        <v>350</v>
      </c>
      <c r="Q343" s="5">
        <f t="shared" si="20"/>
        <v>14.095000000000001</v>
      </c>
      <c r="R343" s="5">
        <f t="shared" si="21"/>
        <v>8.52</v>
      </c>
      <c r="S343" s="5">
        <f t="shared" si="22"/>
        <v>8.5500000000000007</v>
      </c>
      <c r="T343" s="23">
        <f>('Investor-Inputs'!$G$19 * Q343) + ('Investor-Inputs'!$J$19 * R343) + ('Investor-Inputs'!$N$19 * S343)</f>
        <v>67.875</v>
      </c>
      <c r="U343" s="27">
        <f t="shared" si="23"/>
        <v>198</v>
      </c>
    </row>
    <row r="344" spans="3:21" x14ac:dyDescent="0.25">
      <c r="C344" s="2" t="s">
        <v>66</v>
      </c>
      <c r="D344" s="2">
        <v>4</v>
      </c>
      <c r="E344" s="2" t="s">
        <v>14</v>
      </c>
      <c r="F344" s="2" t="s">
        <v>60</v>
      </c>
      <c r="G344" s="3">
        <v>-2.84</v>
      </c>
      <c r="H344" s="3">
        <v>-9.8699999999999992</v>
      </c>
      <c r="I344" s="3">
        <v>13.16</v>
      </c>
      <c r="J344" s="3">
        <v>3.34</v>
      </c>
      <c r="K344" s="3">
        <v>13.83</v>
      </c>
      <c r="L344" s="21">
        <v>8.99</v>
      </c>
      <c r="M344" s="3">
        <v>1.88</v>
      </c>
      <c r="N344" s="2" t="s">
        <v>16</v>
      </c>
      <c r="O344" s="4" t="s">
        <v>24</v>
      </c>
      <c r="P344" s="18" t="s">
        <v>350</v>
      </c>
      <c r="Q344" s="5">
        <f t="shared" si="20"/>
        <v>12.179</v>
      </c>
      <c r="R344" s="5">
        <f t="shared" si="21"/>
        <v>6.165</v>
      </c>
      <c r="S344" s="5">
        <f t="shared" si="22"/>
        <v>7.8550000000000004</v>
      </c>
      <c r="T344" s="23">
        <f>('Investor-Inputs'!$G$19 * Q344) + ('Investor-Inputs'!$J$19 * R344) + ('Investor-Inputs'!$N$19 * S344)</f>
        <v>56.721999999999994</v>
      </c>
      <c r="U344" s="27">
        <f t="shared" si="23"/>
        <v>250</v>
      </c>
    </row>
    <row r="345" spans="3:21" x14ac:dyDescent="0.25">
      <c r="C345" s="2" t="s">
        <v>67</v>
      </c>
      <c r="D345" s="2">
        <v>5</v>
      </c>
      <c r="E345" s="2" t="s">
        <v>14</v>
      </c>
      <c r="F345" s="2" t="s">
        <v>60</v>
      </c>
      <c r="G345" s="3">
        <v>1.23</v>
      </c>
      <c r="H345" s="3">
        <v>-4.6399999999999997</v>
      </c>
      <c r="I345" s="3">
        <v>18.760000000000002</v>
      </c>
      <c r="J345" s="3">
        <v>9.6199999999999992</v>
      </c>
      <c r="K345" s="3">
        <v>19.54</v>
      </c>
      <c r="L345" s="21">
        <v>15.3</v>
      </c>
      <c r="M345" s="3">
        <v>1.27</v>
      </c>
      <c r="N345" s="2" t="s">
        <v>16</v>
      </c>
      <c r="O345" s="4" t="s">
        <v>28</v>
      </c>
      <c r="P345" s="18" t="s">
        <v>350</v>
      </c>
      <c r="Q345" s="5">
        <f t="shared" si="20"/>
        <v>17.274000000000001</v>
      </c>
      <c r="R345" s="5">
        <f t="shared" si="21"/>
        <v>12.46</v>
      </c>
      <c r="S345" s="5">
        <f t="shared" si="22"/>
        <v>10.404999999999999</v>
      </c>
      <c r="T345" s="23">
        <f>('Investor-Inputs'!$G$19 * Q345) + ('Investor-Inputs'!$J$19 * R345) + ('Investor-Inputs'!$N$19 * S345)</f>
        <v>87.147000000000006</v>
      </c>
      <c r="U345" s="27">
        <f t="shared" si="23"/>
        <v>93</v>
      </c>
    </row>
    <row r="346" spans="3:21" x14ac:dyDescent="0.25">
      <c r="C346" s="2" t="s">
        <v>68</v>
      </c>
      <c r="D346" s="2">
        <v>5</v>
      </c>
      <c r="E346" s="2" t="s">
        <v>14</v>
      </c>
      <c r="F346" s="2" t="s">
        <v>60</v>
      </c>
      <c r="G346" s="3">
        <v>0.44</v>
      </c>
      <c r="H346" s="3">
        <v>-6.25</v>
      </c>
      <c r="I346" s="3">
        <v>17.86</v>
      </c>
      <c r="J346" s="3">
        <v>8.8800000000000008</v>
      </c>
      <c r="K346" s="3">
        <v>20.23</v>
      </c>
      <c r="L346" s="21">
        <v>15.12</v>
      </c>
      <c r="M346" s="3">
        <v>1.6</v>
      </c>
      <c r="N346" s="2" t="s">
        <v>16</v>
      </c>
      <c r="O346" s="4" t="s">
        <v>28</v>
      </c>
      <c r="P346" s="18" t="s">
        <v>350</v>
      </c>
      <c r="Q346" s="5">
        <f t="shared" si="20"/>
        <v>17.259</v>
      </c>
      <c r="R346" s="5">
        <f t="shared" si="21"/>
        <v>12</v>
      </c>
      <c r="S346" s="5">
        <f t="shared" si="22"/>
        <v>10.915000000000001</v>
      </c>
      <c r="T346" s="23">
        <f>('Investor-Inputs'!$G$19 * Q346) + ('Investor-Inputs'!$J$19 * R346) + ('Investor-Inputs'!$N$19 * S346)</f>
        <v>86.692000000000007</v>
      </c>
      <c r="U346" s="27">
        <f t="shared" si="23"/>
        <v>96</v>
      </c>
    </row>
    <row r="347" spans="3:21" x14ac:dyDescent="0.25">
      <c r="C347" s="2" t="s">
        <v>69</v>
      </c>
      <c r="D347" s="2">
        <v>4</v>
      </c>
      <c r="E347" s="2" t="s">
        <v>14</v>
      </c>
      <c r="F347" s="2" t="s">
        <v>60</v>
      </c>
      <c r="G347" s="3">
        <v>-1.51</v>
      </c>
      <c r="H347" s="3">
        <v>-7.69</v>
      </c>
      <c r="I347" s="3">
        <v>13.6</v>
      </c>
      <c r="J347" s="3">
        <v>4.2300000000000004</v>
      </c>
      <c r="K347" s="3">
        <v>15.97</v>
      </c>
      <c r="L347" s="21">
        <v>10.71</v>
      </c>
      <c r="M347" s="3">
        <v>1.83</v>
      </c>
      <c r="N347" s="2" t="s">
        <v>16</v>
      </c>
      <c r="O347" s="4" t="s">
        <v>24</v>
      </c>
      <c r="P347" s="18" t="s">
        <v>350</v>
      </c>
      <c r="Q347" s="5">
        <f t="shared" si="20"/>
        <v>13.425000000000001</v>
      </c>
      <c r="R347" s="5">
        <f t="shared" si="21"/>
        <v>7.4700000000000006</v>
      </c>
      <c r="S347" s="5">
        <f t="shared" si="22"/>
        <v>8.9</v>
      </c>
      <c r="T347" s="23">
        <f>('Investor-Inputs'!$G$19 * Q347) + ('Investor-Inputs'!$J$19 * R347) + ('Investor-Inputs'!$N$19 * S347)</f>
        <v>64.115000000000009</v>
      </c>
      <c r="U347" s="27">
        <f t="shared" si="23"/>
        <v>214</v>
      </c>
    </row>
    <row r="348" spans="3:21" x14ac:dyDescent="0.25">
      <c r="C348" s="2" t="s">
        <v>70</v>
      </c>
      <c r="D348" s="2">
        <v>4</v>
      </c>
      <c r="E348" s="2" t="s">
        <v>14</v>
      </c>
      <c r="F348" s="2" t="s">
        <v>60</v>
      </c>
      <c r="G348" s="3">
        <v>8.0500000000000007</v>
      </c>
      <c r="H348" s="3">
        <v>3.56</v>
      </c>
      <c r="I348" s="3">
        <v>18.27</v>
      </c>
      <c r="J348" s="3">
        <v>9.9700000000000006</v>
      </c>
      <c r="K348" s="3">
        <v>15.49</v>
      </c>
      <c r="L348" s="21">
        <v>13.23</v>
      </c>
      <c r="M348" s="3">
        <v>2.2999999999999998</v>
      </c>
      <c r="N348" s="2" t="s">
        <v>16</v>
      </c>
      <c r="O348" s="4" t="s">
        <v>17</v>
      </c>
      <c r="P348" s="18" t="s">
        <v>350</v>
      </c>
      <c r="Q348" s="5">
        <f t="shared" si="20"/>
        <v>15.053000000000001</v>
      </c>
      <c r="R348" s="5">
        <f t="shared" si="21"/>
        <v>11.600000000000001</v>
      </c>
      <c r="S348" s="5">
        <f t="shared" si="22"/>
        <v>8.8949999999999996</v>
      </c>
      <c r="T348" s="23">
        <f>('Investor-Inputs'!$G$19 * Q348) + ('Investor-Inputs'!$J$19 * R348) + ('Investor-Inputs'!$N$19 * S348)</f>
        <v>77.254000000000005</v>
      </c>
      <c r="U348" s="27">
        <f t="shared" si="23"/>
        <v>148</v>
      </c>
    </row>
    <row r="349" spans="3:21" x14ac:dyDescent="0.25">
      <c r="C349" s="2" t="s">
        <v>71</v>
      </c>
      <c r="D349" s="2">
        <v>5</v>
      </c>
      <c r="E349" s="2" t="s">
        <v>14</v>
      </c>
      <c r="F349" s="2" t="s">
        <v>60</v>
      </c>
      <c r="G349" s="3">
        <v>2.85</v>
      </c>
      <c r="H349" s="3">
        <v>-0.6</v>
      </c>
      <c r="I349" s="3">
        <v>18.97</v>
      </c>
      <c r="J349" s="3">
        <v>9.6999999999999993</v>
      </c>
      <c r="K349" s="3">
        <v>17.79</v>
      </c>
      <c r="L349" s="21">
        <v>14.33</v>
      </c>
      <c r="M349" s="3">
        <v>0.98</v>
      </c>
      <c r="N349" s="2" t="s">
        <v>16</v>
      </c>
      <c r="O349" s="4" t="s">
        <v>28</v>
      </c>
      <c r="P349" s="18" t="s">
        <v>350</v>
      </c>
      <c r="Q349" s="5">
        <f t="shared" si="20"/>
        <v>16.483000000000001</v>
      </c>
      <c r="R349" s="5">
        <f t="shared" si="21"/>
        <v>12.015000000000001</v>
      </c>
      <c r="S349" s="5">
        <f t="shared" si="22"/>
        <v>9.3849999999999998</v>
      </c>
      <c r="T349" s="23">
        <f>('Investor-Inputs'!$G$19 * Q349) + ('Investor-Inputs'!$J$19 * R349) + ('Investor-Inputs'!$N$19 * S349)</f>
        <v>82.864000000000004</v>
      </c>
      <c r="U349" s="27">
        <f t="shared" si="23"/>
        <v>118</v>
      </c>
    </row>
    <row r="350" spans="3:21" x14ac:dyDescent="0.25">
      <c r="C350" s="2" t="s">
        <v>72</v>
      </c>
      <c r="D350" s="2">
        <v>4</v>
      </c>
      <c r="E350" s="2" t="s">
        <v>14</v>
      </c>
      <c r="F350" s="2" t="s">
        <v>60</v>
      </c>
      <c r="G350" s="3">
        <v>7.85</v>
      </c>
      <c r="H350" s="3">
        <v>0.06</v>
      </c>
      <c r="I350" s="3">
        <v>17.489999999999998</v>
      </c>
      <c r="J350" s="3">
        <v>9.1</v>
      </c>
      <c r="K350" s="2"/>
      <c r="L350" s="20"/>
      <c r="M350" s="3">
        <v>1.77</v>
      </c>
      <c r="N350" s="2" t="s">
        <v>16</v>
      </c>
      <c r="O350" s="4" t="s">
        <v>17</v>
      </c>
      <c r="P350" s="18" t="s">
        <v>350</v>
      </c>
      <c r="Q350" s="5">
        <f t="shared" si="20"/>
        <v>6.9959999999999996</v>
      </c>
      <c r="R350" s="5">
        <f t="shared" si="21"/>
        <v>4.55</v>
      </c>
      <c r="S350" s="5">
        <f t="shared" si="22"/>
        <v>0.88500000000000001</v>
      </c>
      <c r="T350" s="23">
        <f>('Investor-Inputs'!$G$19 * Q350) + ('Investor-Inputs'!$J$19 * R350) + ('Investor-Inputs'!$N$19 * S350)</f>
        <v>30.973000000000003</v>
      </c>
      <c r="U350" s="27">
        <f t="shared" si="23"/>
        <v>510</v>
      </c>
    </row>
    <row r="351" spans="3:21" x14ac:dyDescent="0.25">
      <c r="C351" s="2" t="s">
        <v>73</v>
      </c>
      <c r="D351" s="2">
        <v>5</v>
      </c>
      <c r="E351" s="2" t="s">
        <v>14</v>
      </c>
      <c r="F351" s="2" t="s">
        <v>60</v>
      </c>
      <c r="G351" s="3">
        <v>3.28</v>
      </c>
      <c r="H351" s="3">
        <v>-3.63</v>
      </c>
      <c r="I351" s="3">
        <v>19.91</v>
      </c>
      <c r="J351" s="3">
        <v>10.72</v>
      </c>
      <c r="K351" s="3">
        <v>17.899999999999999</v>
      </c>
      <c r="L351" s="21">
        <v>14.94</v>
      </c>
      <c r="M351" s="3">
        <v>2.37</v>
      </c>
      <c r="N351" s="2" t="s">
        <v>16</v>
      </c>
      <c r="O351" s="4" t="s">
        <v>28</v>
      </c>
      <c r="P351" s="18" t="s">
        <v>350</v>
      </c>
      <c r="Q351" s="5">
        <f t="shared" si="20"/>
        <v>16.914000000000001</v>
      </c>
      <c r="R351" s="5">
        <f t="shared" si="21"/>
        <v>12.83</v>
      </c>
      <c r="S351" s="5">
        <f t="shared" si="22"/>
        <v>10.135</v>
      </c>
      <c r="T351" s="23">
        <f>('Investor-Inputs'!$G$19 * Q351) + ('Investor-Inputs'!$J$19 * R351) + ('Investor-Inputs'!$N$19 * S351)</f>
        <v>86.537000000000006</v>
      </c>
      <c r="U351" s="27">
        <f t="shared" si="23"/>
        <v>100</v>
      </c>
    </row>
    <row r="352" spans="3:21" x14ac:dyDescent="0.25">
      <c r="C352" s="2" t="s">
        <v>74</v>
      </c>
      <c r="D352" s="2">
        <v>5</v>
      </c>
      <c r="E352" s="2" t="s">
        <v>14</v>
      </c>
      <c r="F352" s="2" t="s">
        <v>60</v>
      </c>
      <c r="G352" s="3">
        <v>16.829999999999998</v>
      </c>
      <c r="H352" s="3">
        <v>10.82</v>
      </c>
      <c r="I352" s="3">
        <v>24.99</v>
      </c>
      <c r="J352" s="3">
        <v>16.190000000000001</v>
      </c>
      <c r="K352" s="3">
        <v>22.43</v>
      </c>
      <c r="L352" s="21">
        <v>19.21</v>
      </c>
      <c r="M352" s="3">
        <v>2.09</v>
      </c>
      <c r="N352" s="2" t="s">
        <v>16</v>
      </c>
      <c r="O352" s="4" t="s">
        <v>28</v>
      </c>
      <c r="P352" s="18" t="s">
        <v>350</v>
      </c>
      <c r="Q352" s="5">
        <f t="shared" si="20"/>
        <v>21.210999999999999</v>
      </c>
      <c r="R352" s="5">
        <f t="shared" si="21"/>
        <v>17.700000000000003</v>
      </c>
      <c r="S352" s="5">
        <f t="shared" si="22"/>
        <v>12.26</v>
      </c>
      <c r="T352" s="23">
        <f>('Investor-Inputs'!$G$19 * Q352) + ('Investor-Inputs'!$J$19 * R352) + ('Investor-Inputs'!$N$19 * S352)</f>
        <v>111.29300000000001</v>
      </c>
      <c r="U352" s="27">
        <f t="shared" si="23"/>
        <v>27</v>
      </c>
    </row>
    <row r="353" spans="3:21" x14ac:dyDescent="0.25">
      <c r="C353" s="2" t="s">
        <v>75</v>
      </c>
      <c r="D353" s="2">
        <v>4</v>
      </c>
      <c r="E353" s="2" t="s">
        <v>14</v>
      </c>
      <c r="F353" s="2" t="s">
        <v>60</v>
      </c>
      <c r="G353" s="3">
        <v>1.78</v>
      </c>
      <c r="H353" s="3">
        <v>-6.19</v>
      </c>
      <c r="I353" s="3">
        <v>18.68</v>
      </c>
      <c r="J353" s="3">
        <v>7.97</v>
      </c>
      <c r="K353" s="2"/>
      <c r="L353" s="20"/>
      <c r="M353" s="3">
        <v>1.86</v>
      </c>
      <c r="N353" s="2" t="s">
        <v>16</v>
      </c>
      <c r="O353" s="4" t="s">
        <v>28</v>
      </c>
      <c r="P353" s="18" t="s">
        <v>350</v>
      </c>
      <c r="Q353" s="5">
        <f t="shared" si="20"/>
        <v>7.4720000000000004</v>
      </c>
      <c r="R353" s="5">
        <f t="shared" si="21"/>
        <v>3.9849999999999999</v>
      </c>
      <c r="S353" s="5">
        <f t="shared" si="22"/>
        <v>0.93</v>
      </c>
      <c r="T353" s="23">
        <f>('Investor-Inputs'!$G$19 * Q353) + ('Investor-Inputs'!$J$19 * R353) + ('Investor-Inputs'!$N$19 * S353)</f>
        <v>31.315999999999999</v>
      </c>
      <c r="U353" s="27">
        <f t="shared" si="23"/>
        <v>508</v>
      </c>
    </row>
    <row r="354" spans="3:21" x14ac:dyDescent="0.25">
      <c r="C354" s="2" t="s">
        <v>76</v>
      </c>
      <c r="D354" s="2">
        <v>4</v>
      </c>
      <c r="E354" s="2" t="s">
        <v>14</v>
      </c>
      <c r="F354" s="2" t="s">
        <v>60</v>
      </c>
      <c r="G354" s="3">
        <v>-2.85</v>
      </c>
      <c r="H354" s="3">
        <v>-7.26</v>
      </c>
      <c r="I354" s="3">
        <v>21.28</v>
      </c>
      <c r="J354" s="3">
        <v>8.11</v>
      </c>
      <c r="K354" s="3">
        <v>15.82</v>
      </c>
      <c r="L354" s="21">
        <v>12.98</v>
      </c>
      <c r="M354" s="3">
        <v>1.89</v>
      </c>
      <c r="N354" s="2" t="s">
        <v>16</v>
      </c>
      <c r="O354" s="4" t="s">
        <v>17</v>
      </c>
      <c r="P354" s="18" t="s">
        <v>350</v>
      </c>
      <c r="Q354" s="5">
        <f t="shared" si="20"/>
        <v>16.422000000000001</v>
      </c>
      <c r="R354" s="5">
        <f t="shared" si="21"/>
        <v>10.545</v>
      </c>
      <c r="S354" s="5">
        <f t="shared" si="22"/>
        <v>8.8550000000000004</v>
      </c>
      <c r="T354" s="23">
        <f>('Investor-Inputs'!$G$19 * Q354) + ('Investor-Inputs'!$J$19 * R354) + ('Investor-Inputs'!$N$19 * S354)</f>
        <v>79.211000000000013</v>
      </c>
      <c r="U354" s="27">
        <f t="shared" si="23"/>
        <v>136</v>
      </c>
    </row>
    <row r="355" spans="3:21" x14ac:dyDescent="0.25">
      <c r="C355" s="2" t="s">
        <v>77</v>
      </c>
      <c r="D355" s="2">
        <v>4</v>
      </c>
      <c r="E355" s="2" t="s">
        <v>14</v>
      </c>
      <c r="F355" s="2" t="s">
        <v>60</v>
      </c>
      <c r="G355" s="3">
        <v>9.9700000000000006</v>
      </c>
      <c r="H355" s="3">
        <v>4.3899999999999997</v>
      </c>
      <c r="I355" s="3">
        <v>19.84</v>
      </c>
      <c r="J355" s="3">
        <v>10.02</v>
      </c>
      <c r="K355" s="2"/>
      <c r="L355" s="20"/>
      <c r="M355" s="3">
        <v>2.52</v>
      </c>
      <c r="N355" s="2" t="s">
        <v>16</v>
      </c>
      <c r="O355" s="4" t="s">
        <v>28</v>
      </c>
      <c r="P355" s="18" t="s">
        <v>350</v>
      </c>
      <c r="Q355" s="5">
        <f t="shared" si="20"/>
        <v>7.9359999999999999</v>
      </c>
      <c r="R355" s="5">
        <f t="shared" si="21"/>
        <v>5.01</v>
      </c>
      <c r="S355" s="5">
        <f t="shared" si="22"/>
        <v>1.26</v>
      </c>
      <c r="T355" s="23">
        <f>('Investor-Inputs'!$G$19 * Q355) + ('Investor-Inputs'!$J$19 * R355) + ('Investor-Inputs'!$N$19 * S355)</f>
        <v>35.088000000000001</v>
      </c>
      <c r="U355" s="27">
        <f t="shared" si="23"/>
        <v>391</v>
      </c>
    </row>
    <row r="356" spans="3:21" x14ac:dyDescent="0.25">
      <c r="C356" s="2" t="s">
        <v>78</v>
      </c>
      <c r="D356" s="2">
        <v>4</v>
      </c>
      <c r="E356" s="2" t="s">
        <v>14</v>
      </c>
      <c r="F356" s="2" t="s">
        <v>60</v>
      </c>
      <c r="G356" s="3">
        <v>-1.05</v>
      </c>
      <c r="H356" s="3">
        <v>-4.0199999999999996</v>
      </c>
      <c r="I356" s="3">
        <v>18.45</v>
      </c>
      <c r="J356" s="3">
        <v>5.13</v>
      </c>
      <c r="K356" s="3">
        <v>17.329999999999998</v>
      </c>
      <c r="L356" s="21">
        <v>12.93</v>
      </c>
      <c r="M356" s="3">
        <v>2.58</v>
      </c>
      <c r="N356" s="2" t="s">
        <v>16</v>
      </c>
      <c r="O356" s="4" t="s">
        <v>17</v>
      </c>
      <c r="P356" s="18" t="s">
        <v>350</v>
      </c>
      <c r="Q356" s="5">
        <f t="shared" si="20"/>
        <v>16.044999999999998</v>
      </c>
      <c r="R356" s="5">
        <f t="shared" si="21"/>
        <v>9.0299999999999994</v>
      </c>
      <c r="S356" s="5">
        <f t="shared" si="22"/>
        <v>9.9549999999999983</v>
      </c>
      <c r="T356" s="23">
        <f>('Investor-Inputs'!$G$19 * Q356) + ('Investor-Inputs'!$J$19 * R356) + ('Investor-Inputs'!$N$19 * S356)</f>
        <v>76.149999999999991</v>
      </c>
      <c r="U356" s="27">
        <f t="shared" si="23"/>
        <v>152</v>
      </c>
    </row>
    <row r="357" spans="3:21" x14ac:dyDescent="0.25">
      <c r="C357" s="2" t="s">
        <v>79</v>
      </c>
      <c r="D357" s="2">
        <v>4</v>
      </c>
      <c r="E357" s="2" t="s">
        <v>14</v>
      </c>
      <c r="F357" s="2" t="s">
        <v>60</v>
      </c>
      <c r="G357" s="3">
        <v>10</v>
      </c>
      <c r="H357" s="3">
        <v>2.92</v>
      </c>
      <c r="I357" s="3">
        <v>16.21</v>
      </c>
      <c r="J357" s="3">
        <v>9.9700000000000006</v>
      </c>
      <c r="K357" s="3">
        <v>14.22</v>
      </c>
      <c r="L357" s="21">
        <v>11.98</v>
      </c>
      <c r="M357" s="3">
        <v>2.29</v>
      </c>
      <c r="N357" s="2" t="s">
        <v>16</v>
      </c>
      <c r="O357" s="4" t="s">
        <v>24</v>
      </c>
      <c r="P357" s="18" t="s">
        <v>350</v>
      </c>
      <c r="Q357" s="5">
        <f t="shared" si="20"/>
        <v>13.594000000000001</v>
      </c>
      <c r="R357" s="5">
        <f t="shared" si="21"/>
        <v>10.975000000000001</v>
      </c>
      <c r="S357" s="5">
        <f t="shared" si="22"/>
        <v>8.2550000000000008</v>
      </c>
      <c r="T357" s="23">
        <f>('Investor-Inputs'!$G$19 * Q357) + ('Investor-Inputs'!$J$19 * R357) + ('Investor-Inputs'!$N$19 * S357)</f>
        <v>70.987000000000009</v>
      </c>
      <c r="U357" s="27">
        <f t="shared" si="23"/>
        <v>188</v>
      </c>
    </row>
    <row r="358" spans="3:21" x14ac:dyDescent="0.25">
      <c r="C358" s="2" t="s">
        <v>80</v>
      </c>
      <c r="D358" s="2">
        <v>4</v>
      </c>
      <c r="E358" s="2" t="s">
        <v>14</v>
      </c>
      <c r="F358" s="2" t="s">
        <v>60</v>
      </c>
      <c r="G358" s="3">
        <v>3.23</v>
      </c>
      <c r="H358" s="3">
        <v>1.2</v>
      </c>
      <c r="I358" s="3">
        <v>17.739999999999998</v>
      </c>
      <c r="J358" s="3">
        <v>8.67</v>
      </c>
      <c r="K358" s="3">
        <v>16.82</v>
      </c>
      <c r="L358" s="21">
        <v>13.34</v>
      </c>
      <c r="M358" s="3">
        <v>2.13</v>
      </c>
      <c r="N358" s="2" t="s">
        <v>16</v>
      </c>
      <c r="O358" s="4" t="s">
        <v>17</v>
      </c>
      <c r="P358" s="18" t="s">
        <v>350</v>
      </c>
      <c r="Q358" s="5">
        <f t="shared" si="20"/>
        <v>15.506</v>
      </c>
      <c r="R358" s="5">
        <f t="shared" si="21"/>
        <v>11.004999999999999</v>
      </c>
      <c r="S358" s="5">
        <f t="shared" si="22"/>
        <v>9.4749999999999996</v>
      </c>
      <c r="T358" s="23">
        <f>('Investor-Inputs'!$G$19 * Q358) + ('Investor-Inputs'!$J$19 * R358) + ('Investor-Inputs'!$N$19 * S358)</f>
        <v>78.002999999999986</v>
      </c>
      <c r="U358" s="27">
        <f t="shared" si="23"/>
        <v>144</v>
      </c>
    </row>
    <row r="359" spans="3:21" x14ac:dyDescent="0.25">
      <c r="C359" s="2" t="s">
        <v>81</v>
      </c>
      <c r="D359" s="2">
        <v>4</v>
      </c>
      <c r="E359" s="2" t="s">
        <v>14</v>
      </c>
      <c r="F359" s="2" t="s">
        <v>60</v>
      </c>
      <c r="G359" s="3">
        <v>2.2400000000000002</v>
      </c>
      <c r="H359" s="3">
        <v>-1.87</v>
      </c>
      <c r="I359" s="3">
        <v>16.010000000000002</v>
      </c>
      <c r="J359" s="3">
        <v>6.27</v>
      </c>
      <c r="K359" s="3">
        <v>14.3</v>
      </c>
      <c r="L359" s="21">
        <v>10.93</v>
      </c>
      <c r="M359" s="3">
        <v>2.09</v>
      </c>
      <c r="N359" s="2" t="s">
        <v>16</v>
      </c>
      <c r="O359" s="4" t="s">
        <v>17</v>
      </c>
      <c r="P359" s="18" t="s">
        <v>350</v>
      </c>
      <c r="Q359" s="5">
        <f t="shared" si="20"/>
        <v>13.554000000000002</v>
      </c>
      <c r="R359" s="5">
        <f t="shared" si="21"/>
        <v>8.6</v>
      </c>
      <c r="S359" s="5">
        <f t="shared" si="22"/>
        <v>8.1950000000000003</v>
      </c>
      <c r="T359" s="23">
        <f>('Investor-Inputs'!$G$19 * Q359) + ('Investor-Inputs'!$J$19 * R359) + ('Investor-Inputs'!$N$19 * S359)</f>
        <v>66.057000000000016</v>
      </c>
      <c r="U359" s="27">
        <f t="shared" si="23"/>
        <v>204</v>
      </c>
    </row>
    <row r="360" spans="3:21" x14ac:dyDescent="0.25">
      <c r="C360" s="2" t="s">
        <v>82</v>
      </c>
      <c r="D360" s="2">
        <v>5</v>
      </c>
      <c r="E360" s="2" t="s">
        <v>14</v>
      </c>
      <c r="F360" s="2" t="s">
        <v>60</v>
      </c>
      <c r="G360" s="3">
        <v>3.77</v>
      </c>
      <c r="H360" s="3">
        <v>-1.46</v>
      </c>
      <c r="I360" s="3">
        <v>16.829999999999998</v>
      </c>
      <c r="J360" s="3">
        <v>9.27</v>
      </c>
      <c r="K360" s="3">
        <v>15.85</v>
      </c>
      <c r="L360" s="21">
        <v>13.27</v>
      </c>
      <c r="M360" s="3">
        <v>1.36</v>
      </c>
      <c r="N360" s="2" t="s">
        <v>16</v>
      </c>
      <c r="O360" s="4" t="s">
        <v>17</v>
      </c>
      <c r="P360" s="18" t="s">
        <v>350</v>
      </c>
      <c r="Q360" s="5">
        <f t="shared" si="20"/>
        <v>14.657</v>
      </c>
      <c r="R360" s="5">
        <f t="shared" si="21"/>
        <v>11.27</v>
      </c>
      <c r="S360" s="5">
        <f t="shared" si="22"/>
        <v>8.6050000000000004</v>
      </c>
      <c r="T360" s="23">
        <f>('Investor-Inputs'!$G$19 * Q360) + ('Investor-Inputs'!$J$19 * R360) + ('Investor-Inputs'!$N$19 * S360)</f>
        <v>75.116</v>
      </c>
      <c r="U360" s="27">
        <f t="shared" si="23"/>
        <v>158</v>
      </c>
    </row>
    <row r="361" spans="3:21" x14ac:dyDescent="0.25">
      <c r="C361" s="2" t="s">
        <v>83</v>
      </c>
      <c r="D361" s="2">
        <v>4</v>
      </c>
      <c r="E361" s="2" t="s">
        <v>14</v>
      </c>
      <c r="F361" s="2" t="s">
        <v>60</v>
      </c>
      <c r="G361" s="3">
        <v>15.83</v>
      </c>
      <c r="H361" s="3">
        <v>15.25</v>
      </c>
      <c r="I361" s="3">
        <v>18.72</v>
      </c>
      <c r="J361" s="3">
        <v>14.78</v>
      </c>
      <c r="K361" s="3">
        <v>15.04</v>
      </c>
      <c r="L361" s="21">
        <v>14.29</v>
      </c>
      <c r="M361" s="3">
        <v>1.51</v>
      </c>
      <c r="N361" s="2" t="s">
        <v>16</v>
      </c>
      <c r="O361" s="4" t="s">
        <v>17</v>
      </c>
      <c r="P361" s="18" t="s">
        <v>350</v>
      </c>
      <c r="Q361" s="5">
        <f t="shared" si="20"/>
        <v>15.007999999999999</v>
      </c>
      <c r="R361" s="5">
        <f t="shared" si="21"/>
        <v>14.535</v>
      </c>
      <c r="S361" s="5">
        <f t="shared" si="22"/>
        <v>8.2750000000000004</v>
      </c>
      <c r="T361" s="23">
        <f>('Investor-Inputs'!$G$19 * Q361) + ('Investor-Inputs'!$J$19 * R361) + ('Investor-Inputs'!$N$19 * S361)</f>
        <v>82.369</v>
      </c>
      <c r="U361" s="27">
        <f t="shared" si="23"/>
        <v>122</v>
      </c>
    </row>
    <row r="362" spans="3:21" x14ac:dyDescent="0.25">
      <c r="C362" s="2" t="s">
        <v>84</v>
      </c>
      <c r="D362" s="2">
        <v>4</v>
      </c>
      <c r="E362" s="2" t="s">
        <v>14</v>
      </c>
      <c r="F362" s="2" t="s">
        <v>60</v>
      </c>
      <c r="G362" s="3">
        <v>7.5</v>
      </c>
      <c r="H362" s="3">
        <v>2.77</v>
      </c>
      <c r="I362" s="3">
        <v>16.7</v>
      </c>
      <c r="J362" s="3">
        <v>8.59</v>
      </c>
      <c r="K362" s="2"/>
      <c r="L362" s="20"/>
      <c r="M362" s="3">
        <v>2.42</v>
      </c>
      <c r="N362" s="2" t="s">
        <v>16</v>
      </c>
      <c r="O362" s="4" t="s">
        <v>17</v>
      </c>
      <c r="P362" s="18" t="s">
        <v>350</v>
      </c>
      <c r="Q362" s="5">
        <f t="shared" si="20"/>
        <v>6.68</v>
      </c>
      <c r="R362" s="5">
        <f t="shared" si="21"/>
        <v>4.2949999999999999</v>
      </c>
      <c r="S362" s="5">
        <f t="shared" si="22"/>
        <v>1.21</v>
      </c>
      <c r="T362" s="23">
        <f>('Investor-Inputs'!$G$19 * Q362) + ('Investor-Inputs'!$J$19 * R362) + ('Investor-Inputs'!$N$19 * S362)</f>
        <v>29.84</v>
      </c>
      <c r="U362" s="27">
        <f t="shared" si="23"/>
        <v>542</v>
      </c>
    </row>
    <row r="363" spans="3:21" x14ac:dyDescent="0.25">
      <c r="C363" s="2" t="s">
        <v>85</v>
      </c>
      <c r="D363" s="2">
        <v>4</v>
      </c>
      <c r="E363" s="2" t="s">
        <v>14</v>
      </c>
      <c r="F363" s="2" t="s">
        <v>60</v>
      </c>
      <c r="G363" s="3">
        <v>3.73</v>
      </c>
      <c r="H363" s="3">
        <v>-1.94</v>
      </c>
      <c r="I363" s="3">
        <v>17.63</v>
      </c>
      <c r="J363" s="3">
        <v>8.34</v>
      </c>
      <c r="K363" s="2"/>
      <c r="L363" s="20"/>
      <c r="M363" s="3">
        <v>1.92</v>
      </c>
      <c r="N363" s="2" t="s">
        <v>16</v>
      </c>
      <c r="O363" s="4" t="s">
        <v>17</v>
      </c>
      <c r="P363" s="18" t="s">
        <v>350</v>
      </c>
      <c r="Q363" s="5">
        <f t="shared" si="20"/>
        <v>7.0519999999999996</v>
      </c>
      <c r="R363" s="5">
        <f t="shared" si="21"/>
        <v>4.17</v>
      </c>
      <c r="S363" s="5">
        <f t="shared" si="22"/>
        <v>0.96</v>
      </c>
      <c r="T363" s="23">
        <f>('Investor-Inputs'!$G$19 * Q363) + ('Investor-Inputs'!$J$19 * R363) + ('Investor-Inputs'!$N$19 * S363)</f>
        <v>30.456</v>
      </c>
      <c r="U363" s="27">
        <f t="shared" si="23"/>
        <v>516</v>
      </c>
    </row>
    <row r="364" spans="3:21" x14ac:dyDescent="0.25">
      <c r="C364" s="2" t="s">
        <v>86</v>
      </c>
      <c r="D364" s="2">
        <v>5</v>
      </c>
      <c r="E364" s="2" t="s">
        <v>14</v>
      </c>
      <c r="F364" s="2" t="s">
        <v>87</v>
      </c>
      <c r="G364" s="3">
        <v>7.22</v>
      </c>
      <c r="H364" s="3">
        <v>1.24</v>
      </c>
      <c r="I364" s="3">
        <v>21.3</v>
      </c>
      <c r="J364" s="3">
        <v>10.81</v>
      </c>
      <c r="K364" s="2"/>
      <c r="L364" s="20"/>
      <c r="M364" s="3">
        <v>2.29</v>
      </c>
      <c r="N364" s="2" t="s">
        <v>16</v>
      </c>
      <c r="O364" s="4" t="s">
        <v>28</v>
      </c>
      <c r="P364" s="18" t="s">
        <v>350</v>
      </c>
      <c r="Q364" s="5">
        <f t="shared" si="20"/>
        <v>8.5200000000000014</v>
      </c>
      <c r="R364" s="5">
        <f t="shared" si="21"/>
        <v>5.4050000000000002</v>
      </c>
      <c r="S364" s="5">
        <f t="shared" si="22"/>
        <v>1.145</v>
      </c>
      <c r="T364" s="23">
        <f>('Investor-Inputs'!$G$19 * Q364) + ('Investor-Inputs'!$J$19 * R364) + ('Investor-Inputs'!$N$19 * S364)</f>
        <v>37.515000000000008</v>
      </c>
      <c r="U364" s="27">
        <f t="shared" si="23"/>
        <v>335</v>
      </c>
    </row>
    <row r="365" spans="3:21" x14ac:dyDescent="0.25">
      <c r="C365" s="2" t="s">
        <v>88</v>
      </c>
      <c r="D365" s="2">
        <v>4</v>
      </c>
      <c r="E365" s="2" t="s">
        <v>14</v>
      </c>
      <c r="F365" s="2" t="s">
        <v>87</v>
      </c>
      <c r="G365" s="3">
        <v>13.77</v>
      </c>
      <c r="H365" s="3">
        <v>10.51</v>
      </c>
      <c r="I365" s="3">
        <v>21.12</v>
      </c>
      <c r="J365" s="3">
        <v>12.49</v>
      </c>
      <c r="K365" s="2"/>
      <c r="L365" s="20"/>
      <c r="M365" s="3">
        <v>2.2400000000000002</v>
      </c>
      <c r="N365" s="2" t="s">
        <v>16</v>
      </c>
      <c r="O365" s="4" t="s">
        <v>17</v>
      </c>
      <c r="P365" s="18" t="s">
        <v>350</v>
      </c>
      <c r="Q365" s="5">
        <f t="shared" si="20"/>
        <v>8.4480000000000004</v>
      </c>
      <c r="R365" s="5">
        <f t="shared" si="21"/>
        <v>6.2450000000000001</v>
      </c>
      <c r="S365" s="5">
        <f t="shared" si="22"/>
        <v>1.1200000000000001</v>
      </c>
      <c r="T365" s="23">
        <f>('Investor-Inputs'!$G$19 * Q365) + ('Investor-Inputs'!$J$19 * R365) + ('Investor-Inputs'!$N$19 * S365)</f>
        <v>38.954000000000001</v>
      </c>
      <c r="U365" s="27">
        <f t="shared" si="23"/>
        <v>333</v>
      </c>
    </row>
    <row r="366" spans="3:21" x14ac:dyDescent="0.25">
      <c r="C366" s="2" t="s">
        <v>89</v>
      </c>
      <c r="D366" s="2">
        <v>4</v>
      </c>
      <c r="E366" s="2" t="s">
        <v>14</v>
      </c>
      <c r="F366" s="2" t="s">
        <v>87</v>
      </c>
      <c r="G366" s="3">
        <v>9.74</v>
      </c>
      <c r="H366" s="3">
        <v>5.17</v>
      </c>
      <c r="I366" s="3">
        <v>22.24</v>
      </c>
      <c r="J366" s="3">
        <v>11.16</v>
      </c>
      <c r="K366" s="2"/>
      <c r="L366" s="20"/>
      <c r="M366" s="3">
        <v>2.2200000000000002</v>
      </c>
      <c r="N366" s="2" t="s">
        <v>16</v>
      </c>
      <c r="O366" s="4" t="s">
        <v>28</v>
      </c>
      <c r="P366" s="18" t="s">
        <v>350</v>
      </c>
      <c r="Q366" s="5">
        <f t="shared" si="20"/>
        <v>8.895999999999999</v>
      </c>
      <c r="R366" s="5">
        <f t="shared" si="21"/>
        <v>5.58</v>
      </c>
      <c r="S366" s="5">
        <f t="shared" si="22"/>
        <v>1.1100000000000001</v>
      </c>
      <c r="T366" s="23">
        <f>('Investor-Inputs'!$G$19 * Q366) + ('Investor-Inputs'!$J$19 * R366) + ('Investor-Inputs'!$N$19 * S366)</f>
        <v>38.957999999999998</v>
      </c>
      <c r="U366" s="27">
        <f t="shared" si="23"/>
        <v>331</v>
      </c>
    </row>
    <row r="367" spans="3:21" x14ac:dyDescent="0.25">
      <c r="C367" s="2" t="s">
        <v>90</v>
      </c>
      <c r="D367" s="2">
        <v>4</v>
      </c>
      <c r="E367" s="2" t="s">
        <v>14</v>
      </c>
      <c r="F367" s="2" t="s">
        <v>87</v>
      </c>
      <c r="G367" s="3">
        <v>7.74</v>
      </c>
      <c r="H367" s="3">
        <v>7.85</v>
      </c>
      <c r="I367" s="3">
        <v>20.309999999999999</v>
      </c>
      <c r="J367" s="3">
        <v>11.44</v>
      </c>
      <c r="K367" s="3">
        <v>17.829999999999998</v>
      </c>
      <c r="L367" s="21">
        <v>15.16</v>
      </c>
      <c r="M367" s="3">
        <v>2.02</v>
      </c>
      <c r="N367" s="2" t="s">
        <v>16</v>
      </c>
      <c r="O367" s="4" t="s">
        <v>24</v>
      </c>
      <c r="P367" s="18" t="s">
        <v>350</v>
      </c>
      <c r="Q367" s="5">
        <f t="shared" si="20"/>
        <v>17.039000000000001</v>
      </c>
      <c r="R367" s="5">
        <f t="shared" si="21"/>
        <v>13.3</v>
      </c>
      <c r="S367" s="5">
        <f t="shared" si="22"/>
        <v>9.9249999999999989</v>
      </c>
      <c r="T367" s="23">
        <f>('Investor-Inputs'!$G$19 * Q367) + ('Investor-Inputs'!$J$19 * R367) + ('Investor-Inputs'!$N$19 * S367)</f>
        <v>87.64200000000001</v>
      </c>
      <c r="U367" s="27">
        <f t="shared" si="23"/>
        <v>89</v>
      </c>
    </row>
    <row r="368" spans="3:21" x14ac:dyDescent="0.25">
      <c r="C368" s="2" t="s">
        <v>91</v>
      </c>
      <c r="D368" s="2">
        <v>5</v>
      </c>
      <c r="E368" s="2" t="s">
        <v>14</v>
      </c>
      <c r="F368" s="2" t="s">
        <v>87</v>
      </c>
      <c r="G368" s="3">
        <v>11.15</v>
      </c>
      <c r="H368" s="3">
        <v>6.06</v>
      </c>
      <c r="I368" s="3">
        <v>22.8</v>
      </c>
      <c r="J368" s="3">
        <v>11.97</v>
      </c>
      <c r="K368" s="2"/>
      <c r="L368" s="20"/>
      <c r="M368" s="3">
        <v>1.64</v>
      </c>
      <c r="N368" s="2" t="s">
        <v>16</v>
      </c>
      <c r="O368" s="4" t="s">
        <v>28</v>
      </c>
      <c r="P368" s="18" t="s">
        <v>350</v>
      </c>
      <c r="Q368" s="5">
        <f t="shared" si="20"/>
        <v>9.120000000000001</v>
      </c>
      <c r="R368" s="5">
        <f t="shared" si="21"/>
        <v>5.9850000000000003</v>
      </c>
      <c r="S368" s="5">
        <f t="shared" si="22"/>
        <v>0.82</v>
      </c>
      <c r="T368" s="23">
        <f>('Investor-Inputs'!$G$19 * Q368) + ('Investor-Inputs'!$J$19 * R368) + ('Investor-Inputs'!$N$19 * S368)</f>
        <v>40.150000000000006</v>
      </c>
      <c r="U368" s="27">
        <f t="shared" si="23"/>
        <v>325</v>
      </c>
    </row>
    <row r="369" spans="3:21" x14ac:dyDescent="0.25">
      <c r="C369" s="2" t="s">
        <v>92</v>
      </c>
      <c r="D369" s="2">
        <v>4</v>
      </c>
      <c r="E369" s="2" t="s">
        <v>14</v>
      </c>
      <c r="F369" s="2" t="s">
        <v>87</v>
      </c>
      <c r="G369" s="3">
        <v>10.06</v>
      </c>
      <c r="H369" s="3">
        <v>6.32</v>
      </c>
      <c r="I369" s="3">
        <v>20.36</v>
      </c>
      <c r="J369" s="3">
        <v>10.59</v>
      </c>
      <c r="K369" s="3">
        <v>17.84</v>
      </c>
      <c r="L369" s="21">
        <v>14.39</v>
      </c>
      <c r="M369" s="3">
        <v>2.91</v>
      </c>
      <c r="N369" s="2" t="s">
        <v>16</v>
      </c>
      <c r="O369" s="4" t="s">
        <v>17</v>
      </c>
      <c r="P369" s="18" t="s">
        <v>350</v>
      </c>
      <c r="Q369" s="5">
        <f t="shared" si="20"/>
        <v>17.064</v>
      </c>
      <c r="R369" s="5">
        <f t="shared" si="21"/>
        <v>12.49</v>
      </c>
      <c r="S369" s="5">
        <f t="shared" si="22"/>
        <v>10.375</v>
      </c>
      <c r="T369" s="23">
        <f>('Investor-Inputs'!$G$19 * Q369) + ('Investor-Inputs'!$J$19 * R369) + ('Investor-Inputs'!$N$19 * S369)</f>
        <v>86.546999999999997</v>
      </c>
      <c r="U369" s="27">
        <f t="shared" si="23"/>
        <v>98</v>
      </c>
    </row>
    <row r="370" spans="3:21" x14ac:dyDescent="0.25">
      <c r="C370" s="2" t="s">
        <v>93</v>
      </c>
      <c r="D370" s="2">
        <v>5</v>
      </c>
      <c r="E370" s="2" t="s">
        <v>14</v>
      </c>
      <c r="F370" s="2" t="s">
        <v>87</v>
      </c>
      <c r="G370" s="3">
        <v>7.19</v>
      </c>
      <c r="H370" s="3">
        <v>1.59</v>
      </c>
      <c r="I370" s="3">
        <v>20.32</v>
      </c>
      <c r="J370" s="3">
        <v>9.75</v>
      </c>
      <c r="K370" s="3">
        <v>21.31</v>
      </c>
      <c r="L370" s="21">
        <v>16.27</v>
      </c>
      <c r="M370" s="3">
        <v>1.47</v>
      </c>
      <c r="N370" s="2" t="s">
        <v>16</v>
      </c>
      <c r="O370" s="4" t="s">
        <v>17</v>
      </c>
      <c r="P370" s="18" t="s">
        <v>350</v>
      </c>
      <c r="Q370" s="5">
        <f t="shared" si="20"/>
        <v>18.783000000000001</v>
      </c>
      <c r="R370" s="5">
        <f t="shared" si="21"/>
        <v>13.01</v>
      </c>
      <c r="S370" s="5">
        <f t="shared" si="22"/>
        <v>11.389999999999999</v>
      </c>
      <c r="T370" s="23">
        <f>('Investor-Inputs'!$G$19 * Q370) + ('Investor-Inputs'!$J$19 * R370) + ('Investor-Inputs'!$N$19 * S370)</f>
        <v>93.759</v>
      </c>
      <c r="U370" s="27">
        <f t="shared" si="23"/>
        <v>63</v>
      </c>
    </row>
    <row r="371" spans="3:21" x14ac:dyDescent="0.25">
      <c r="C371" s="2" t="s">
        <v>94</v>
      </c>
      <c r="D371" s="2">
        <v>5</v>
      </c>
      <c r="E371" s="2" t="s">
        <v>14</v>
      </c>
      <c r="F371" s="2" t="s">
        <v>95</v>
      </c>
      <c r="G371" s="3">
        <v>10.73</v>
      </c>
      <c r="H371" s="3">
        <v>5.67</v>
      </c>
      <c r="I371" s="3">
        <v>24.72</v>
      </c>
      <c r="J371" s="3">
        <v>14.67</v>
      </c>
      <c r="K371" s="3">
        <v>21.02</v>
      </c>
      <c r="L371" s="21">
        <v>18.48</v>
      </c>
      <c r="M371" s="3">
        <v>1.8</v>
      </c>
      <c r="N371" s="2" t="s">
        <v>16</v>
      </c>
      <c r="O371" s="4" t="s">
        <v>17</v>
      </c>
      <c r="P371" s="18" t="s">
        <v>350</v>
      </c>
      <c r="Q371" s="5">
        <f t="shared" si="20"/>
        <v>20.398</v>
      </c>
      <c r="R371" s="5">
        <f t="shared" si="21"/>
        <v>16.574999999999999</v>
      </c>
      <c r="S371" s="5">
        <f t="shared" si="22"/>
        <v>11.41</v>
      </c>
      <c r="T371" s="23">
        <f>('Investor-Inputs'!$G$19 * Q371) + ('Investor-Inputs'!$J$19 * R371) + ('Investor-Inputs'!$N$19 * S371)</f>
        <v>105.75399999999999</v>
      </c>
      <c r="U371" s="27">
        <f t="shared" si="23"/>
        <v>39</v>
      </c>
    </row>
    <row r="372" spans="3:21" x14ac:dyDescent="0.25">
      <c r="C372" s="2" t="s">
        <v>96</v>
      </c>
      <c r="D372" s="2">
        <v>5</v>
      </c>
      <c r="E372" s="2" t="s">
        <v>14</v>
      </c>
      <c r="F372" s="2" t="s">
        <v>95</v>
      </c>
      <c r="G372" s="3">
        <v>10.69</v>
      </c>
      <c r="H372" s="3">
        <v>2.78</v>
      </c>
      <c r="I372" s="3">
        <v>23.56</v>
      </c>
      <c r="J372" s="3">
        <v>12.21</v>
      </c>
      <c r="K372" s="3">
        <v>21.25</v>
      </c>
      <c r="L372" s="21">
        <v>18.34</v>
      </c>
      <c r="M372" s="3">
        <v>1.3</v>
      </c>
      <c r="N372" s="2" t="s">
        <v>16</v>
      </c>
      <c r="O372" s="4" t="s">
        <v>17</v>
      </c>
      <c r="P372" s="18" t="s">
        <v>350</v>
      </c>
      <c r="Q372" s="5">
        <f t="shared" si="20"/>
        <v>20.048999999999999</v>
      </c>
      <c r="R372" s="5">
        <f t="shared" si="21"/>
        <v>15.275</v>
      </c>
      <c r="S372" s="5">
        <f t="shared" si="22"/>
        <v>11.275</v>
      </c>
      <c r="T372" s="23">
        <f>('Investor-Inputs'!$G$19 * Q372) + ('Investor-Inputs'!$J$19 * R372) + ('Investor-Inputs'!$N$19 * S372)</f>
        <v>101.97200000000001</v>
      </c>
      <c r="U372" s="27">
        <f t="shared" si="23"/>
        <v>45</v>
      </c>
    </row>
    <row r="373" spans="3:21" x14ac:dyDescent="0.25">
      <c r="C373" s="2" t="s">
        <v>97</v>
      </c>
      <c r="D373" s="2">
        <v>4</v>
      </c>
      <c r="E373" s="2" t="s">
        <v>14</v>
      </c>
      <c r="F373" s="2" t="s">
        <v>95</v>
      </c>
      <c r="G373" s="3">
        <v>24.33</v>
      </c>
      <c r="H373" s="3">
        <v>19.63</v>
      </c>
      <c r="I373" s="3">
        <v>26.21</v>
      </c>
      <c r="J373" s="3">
        <v>18.78</v>
      </c>
      <c r="K373" s="3">
        <v>20.73</v>
      </c>
      <c r="L373" s="21">
        <v>19.600000000000001</v>
      </c>
      <c r="M373" s="3">
        <v>1.84</v>
      </c>
      <c r="N373" s="2" t="s">
        <v>16</v>
      </c>
      <c r="O373" s="4" t="s">
        <v>17</v>
      </c>
      <c r="P373" s="18" t="s">
        <v>350</v>
      </c>
      <c r="Q373" s="5">
        <f t="shared" si="20"/>
        <v>20.849000000000004</v>
      </c>
      <c r="R373" s="5">
        <f t="shared" si="21"/>
        <v>19.190000000000001</v>
      </c>
      <c r="S373" s="5">
        <f t="shared" si="22"/>
        <v>11.285</v>
      </c>
      <c r="T373" s="23">
        <f>('Investor-Inputs'!$G$19 * Q373) + ('Investor-Inputs'!$J$19 * R373) + ('Investor-Inputs'!$N$19 * S373)</f>
        <v>112.21200000000002</v>
      </c>
      <c r="U373" s="27">
        <f t="shared" si="23"/>
        <v>25</v>
      </c>
    </row>
    <row r="374" spans="3:21" x14ac:dyDescent="0.25">
      <c r="C374" s="2" t="s">
        <v>98</v>
      </c>
      <c r="D374" s="2">
        <v>4</v>
      </c>
      <c r="E374" s="2" t="s">
        <v>14</v>
      </c>
      <c r="F374" s="2" t="s">
        <v>95</v>
      </c>
      <c r="G374" s="3">
        <v>13.6</v>
      </c>
      <c r="H374" s="3">
        <v>4.16</v>
      </c>
      <c r="I374" s="3">
        <v>25.59</v>
      </c>
      <c r="J374" s="3">
        <v>16.05</v>
      </c>
      <c r="K374" s="3">
        <v>21.01</v>
      </c>
      <c r="L374" s="21">
        <v>19.18</v>
      </c>
      <c r="M374" s="3">
        <v>2.17</v>
      </c>
      <c r="N374" s="2" t="s">
        <v>16</v>
      </c>
      <c r="O374" s="4" t="s">
        <v>28</v>
      </c>
      <c r="P374" s="18" t="s">
        <v>350</v>
      </c>
      <c r="Q374" s="5">
        <f t="shared" si="20"/>
        <v>20.741</v>
      </c>
      <c r="R374" s="5">
        <f t="shared" si="21"/>
        <v>17.615000000000002</v>
      </c>
      <c r="S374" s="5">
        <f t="shared" si="22"/>
        <v>11.59</v>
      </c>
      <c r="T374" s="23">
        <f>('Investor-Inputs'!$G$19 * Q374) + ('Investor-Inputs'!$J$19 * R374) + ('Investor-Inputs'!$N$19 * S374)</f>
        <v>109.04300000000001</v>
      </c>
      <c r="U374" s="27">
        <f t="shared" si="23"/>
        <v>33</v>
      </c>
    </row>
    <row r="375" spans="3:21" x14ac:dyDescent="0.25">
      <c r="C375" s="2" t="s">
        <v>99</v>
      </c>
      <c r="D375" s="2">
        <v>4</v>
      </c>
      <c r="E375" s="2" t="s">
        <v>14</v>
      </c>
      <c r="F375" s="2" t="s">
        <v>95</v>
      </c>
      <c r="G375" s="3">
        <v>11.39</v>
      </c>
      <c r="H375" s="3">
        <v>6.83</v>
      </c>
      <c r="I375" s="3">
        <v>23.61</v>
      </c>
      <c r="J375" s="3">
        <v>12.25</v>
      </c>
      <c r="K375" s="3">
        <v>16.78</v>
      </c>
      <c r="L375" s="21">
        <v>16.260000000000002</v>
      </c>
      <c r="M375" s="3">
        <v>1.84</v>
      </c>
      <c r="N375" s="2" t="s">
        <v>16</v>
      </c>
      <c r="O375" s="4" t="s">
        <v>17</v>
      </c>
      <c r="P375" s="18" t="s">
        <v>350</v>
      </c>
      <c r="Q375" s="5">
        <f t="shared" si="20"/>
        <v>17.834000000000003</v>
      </c>
      <c r="R375" s="5">
        <f t="shared" si="21"/>
        <v>14.255000000000001</v>
      </c>
      <c r="S375" s="5">
        <f t="shared" si="22"/>
        <v>9.31</v>
      </c>
      <c r="T375" s="23">
        <f>('Investor-Inputs'!$G$19 * Q375) + ('Investor-Inputs'!$J$19 * R375) + ('Investor-Inputs'!$N$19 * S375)</f>
        <v>91.322000000000017</v>
      </c>
      <c r="U375" s="27">
        <f t="shared" si="23"/>
        <v>75</v>
      </c>
    </row>
    <row r="376" spans="3:21" x14ac:dyDescent="0.25">
      <c r="C376" s="2" t="s">
        <v>100</v>
      </c>
      <c r="D376" s="2">
        <v>4</v>
      </c>
      <c r="E376" s="2" t="s">
        <v>14</v>
      </c>
      <c r="F376" s="2" t="s">
        <v>95</v>
      </c>
      <c r="G376" s="3">
        <v>7.09</v>
      </c>
      <c r="H376" s="3">
        <v>3.68</v>
      </c>
      <c r="I376" s="3">
        <v>23.26</v>
      </c>
      <c r="J376" s="3">
        <v>10.26</v>
      </c>
      <c r="K376" s="2"/>
      <c r="L376" s="20"/>
      <c r="M376" s="3">
        <v>2.31</v>
      </c>
      <c r="N376" s="2" t="s">
        <v>16</v>
      </c>
      <c r="O376" s="4" t="s">
        <v>17</v>
      </c>
      <c r="P376" s="18" t="s">
        <v>350</v>
      </c>
      <c r="Q376" s="5">
        <f t="shared" si="20"/>
        <v>9.3040000000000003</v>
      </c>
      <c r="R376" s="5">
        <f t="shared" si="21"/>
        <v>5.13</v>
      </c>
      <c r="S376" s="5">
        <f t="shared" si="22"/>
        <v>1.155</v>
      </c>
      <c r="T376" s="23">
        <f>('Investor-Inputs'!$G$19 * Q376) + ('Investor-Inputs'!$J$19 * R376) + ('Investor-Inputs'!$N$19 * S376)</f>
        <v>39.326999999999998</v>
      </c>
      <c r="U376" s="27">
        <f t="shared" si="23"/>
        <v>329</v>
      </c>
    </row>
    <row r="377" spans="3:21" x14ac:dyDescent="0.25">
      <c r="C377" s="2" t="s">
        <v>101</v>
      </c>
      <c r="D377" s="2">
        <v>4</v>
      </c>
      <c r="E377" s="2" t="s">
        <v>14</v>
      </c>
      <c r="F377" s="2" t="s">
        <v>95</v>
      </c>
      <c r="G377" s="3">
        <v>13.91</v>
      </c>
      <c r="H377" s="3">
        <v>6.69</v>
      </c>
      <c r="I377" s="3">
        <v>21.47</v>
      </c>
      <c r="J377" s="3">
        <v>13.11</v>
      </c>
      <c r="K377" s="3">
        <v>18.88</v>
      </c>
      <c r="L377" s="21">
        <v>16.37</v>
      </c>
      <c r="M377" s="3">
        <v>1.45</v>
      </c>
      <c r="N377" s="2" t="s">
        <v>16</v>
      </c>
      <c r="O377" s="4" t="s">
        <v>24</v>
      </c>
      <c r="P377" s="18" t="s">
        <v>350</v>
      </c>
      <c r="Q377" s="5">
        <f t="shared" si="20"/>
        <v>18.027999999999999</v>
      </c>
      <c r="R377" s="5">
        <f t="shared" si="21"/>
        <v>14.74</v>
      </c>
      <c r="S377" s="5">
        <f t="shared" si="22"/>
        <v>10.164999999999999</v>
      </c>
      <c r="T377" s="23">
        <f>('Investor-Inputs'!$G$19 * Q377) + ('Investor-Inputs'!$J$19 * R377) + ('Investor-Inputs'!$N$19 * S377)</f>
        <v>93.728999999999985</v>
      </c>
      <c r="U377" s="27">
        <f t="shared" si="23"/>
        <v>65</v>
      </c>
    </row>
    <row r="378" spans="3:21" x14ac:dyDescent="0.25">
      <c r="C378" s="2" t="s">
        <v>102</v>
      </c>
      <c r="D378" s="2">
        <v>4</v>
      </c>
      <c r="E378" s="2" t="s">
        <v>14</v>
      </c>
      <c r="F378" s="2" t="s">
        <v>95</v>
      </c>
      <c r="G378" s="3">
        <v>12.03</v>
      </c>
      <c r="H378" s="3">
        <v>11.03</v>
      </c>
      <c r="I378" s="3">
        <v>24.21</v>
      </c>
      <c r="J378" s="3">
        <v>13.27</v>
      </c>
      <c r="K378" s="3">
        <v>20.100000000000001</v>
      </c>
      <c r="L378" s="21">
        <v>17.7</v>
      </c>
      <c r="M378" s="3">
        <v>2.27</v>
      </c>
      <c r="N378" s="2" t="s">
        <v>16</v>
      </c>
      <c r="O378" s="4" t="s">
        <v>17</v>
      </c>
      <c r="P378" s="18" t="s">
        <v>350</v>
      </c>
      <c r="Q378" s="5">
        <f t="shared" si="20"/>
        <v>19.734000000000002</v>
      </c>
      <c r="R378" s="5">
        <f t="shared" si="21"/>
        <v>15.484999999999999</v>
      </c>
      <c r="S378" s="5">
        <f t="shared" si="22"/>
        <v>11.185</v>
      </c>
      <c r="T378" s="23">
        <f>('Investor-Inputs'!$G$19 * Q378) + ('Investor-Inputs'!$J$19 * R378) + ('Investor-Inputs'!$N$19 * S378)</f>
        <v>101.357</v>
      </c>
      <c r="U378" s="27">
        <f t="shared" si="23"/>
        <v>47</v>
      </c>
    </row>
    <row r="379" spans="3:21" x14ac:dyDescent="0.25">
      <c r="C379" s="2" t="s">
        <v>103</v>
      </c>
      <c r="D379" s="2">
        <v>4</v>
      </c>
      <c r="E379" s="2" t="s">
        <v>14</v>
      </c>
      <c r="F379" s="2" t="s">
        <v>95</v>
      </c>
      <c r="G379" s="3">
        <v>-3.85</v>
      </c>
      <c r="H379" s="3">
        <v>-12.01</v>
      </c>
      <c r="I379" s="3">
        <v>20.88</v>
      </c>
      <c r="J379" s="3">
        <v>6.03</v>
      </c>
      <c r="K379" s="3">
        <v>22.82</v>
      </c>
      <c r="L379" s="21">
        <v>15.79</v>
      </c>
      <c r="M379" s="3">
        <v>1.61</v>
      </c>
      <c r="N379" s="2" t="s">
        <v>16</v>
      </c>
      <c r="O379" s="4" t="s">
        <v>28</v>
      </c>
      <c r="P379" s="18" t="s">
        <v>350</v>
      </c>
      <c r="Q379" s="5">
        <f t="shared" si="20"/>
        <v>19.762</v>
      </c>
      <c r="R379" s="5">
        <f t="shared" si="21"/>
        <v>10.91</v>
      </c>
      <c r="S379" s="5">
        <f t="shared" si="22"/>
        <v>12.215</v>
      </c>
      <c r="T379" s="23">
        <f>('Investor-Inputs'!$G$19 * Q379) + ('Investor-Inputs'!$J$19 * R379) + ('Investor-Inputs'!$N$19 * S379)</f>
        <v>93.320999999999998</v>
      </c>
      <c r="U379" s="27">
        <f t="shared" si="23"/>
        <v>69</v>
      </c>
    </row>
    <row r="380" spans="3:21" x14ac:dyDescent="0.25">
      <c r="C380" s="2" t="s">
        <v>104</v>
      </c>
      <c r="D380" s="2">
        <v>5</v>
      </c>
      <c r="E380" s="2" t="s">
        <v>14</v>
      </c>
      <c r="F380" s="2" t="s">
        <v>95</v>
      </c>
      <c r="G380" s="3">
        <v>12.26</v>
      </c>
      <c r="H380" s="3">
        <v>8.8800000000000008</v>
      </c>
      <c r="I380" s="3">
        <v>25.44</v>
      </c>
      <c r="J380" s="3">
        <v>14.46</v>
      </c>
      <c r="K380" s="3">
        <v>22.24</v>
      </c>
      <c r="L380" s="21">
        <v>19.04</v>
      </c>
      <c r="M380" s="3">
        <v>1.92</v>
      </c>
      <c r="N380" s="2" t="s">
        <v>16</v>
      </c>
      <c r="O380" s="4" t="s">
        <v>28</v>
      </c>
      <c r="P380" s="18" t="s">
        <v>350</v>
      </c>
      <c r="Q380" s="5">
        <f t="shared" si="20"/>
        <v>21.295999999999999</v>
      </c>
      <c r="R380" s="5">
        <f t="shared" si="21"/>
        <v>16.75</v>
      </c>
      <c r="S380" s="5">
        <f t="shared" si="22"/>
        <v>12.079999999999998</v>
      </c>
      <c r="T380" s="23">
        <f>('Investor-Inputs'!$G$19 * Q380) + ('Investor-Inputs'!$J$19 * R380) + ('Investor-Inputs'!$N$19 * S380)</f>
        <v>109.468</v>
      </c>
      <c r="U380" s="27">
        <f t="shared" si="23"/>
        <v>31</v>
      </c>
    </row>
    <row r="381" spans="3:21" x14ac:dyDescent="0.25">
      <c r="C381" s="2" t="s">
        <v>105</v>
      </c>
      <c r="D381" s="2">
        <v>4</v>
      </c>
      <c r="E381" s="2" t="s">
        <v>14</v>
      </c>
      <c r="F381" s="2" t="s">
        <v>95</v>
      </c>
      <c r="G381" s="3">
        <v>11.3</v>
      </c>
      <c r="H381" s="3">
        <v>5.56</v>
      </c>
      <c r="I381" s="3">
        <v>24.15</v>
      </c>
      <c r="J381" s="3">
        <v>13.44</v>
      </c>
      <c r="K381" s="3">
        <v>19.86</v>
      </c>
      <c r="L381" s="21">
        <v>17.61</v>
      </c>
      <c r="M381" s="3">
        <v>2.25</v>
      </c>
      <c r="N381" s="2" t="s">
        <v>16</v>
      </c>
      <c r="O381" s="4" t="s">
        <v>17</v>
      </c>
      <c r="P381" s="18" t="s">
        <v>350</v>
      </c>
      <c r="Q381" s="5">
        <f t="shared" si="20"/>
        <v>19.59</v>
      </c>
      <c r="R381" s="5">
        <f t="shared" si="21"/>
        <v>15.524999999999999</v>
      </c>
      <c r="S381" s="5">
        <f t="shared" si="22"/>
        <v>11.055</v>
      </c>
      <c r="T381" s="23">
        <f>('Investor-Inputs'!$G$19 * Q381) + ('Investor-Inputs'!$J$19 * R381) + ('Investor-Inputs'!$N$19 * S381)</f>
        <v>100.875</v>
      </c>
      <c r="U381" s="27">
        <f t="shared" si="23"/>
        <v>49</v>
      </c>
    </row>
    <row r="382" spans="3:21" x14ac:dyDescent="0.25">
      <c r="C382" s="2" t="s">
        <v>106</v>
      </c>
      <c r="D382" s="2">
        <v>5</v>
      </c>
      <c r="E382" s="2" t="s">
        <v>14</v>
      </c>
      <c r="F382" s="2" t="s">
        <v>95</v>
      </c>
      <c r="G382" s="3">
        <v>15.16</v>
      </c>
      <c r="H382" s="3">
        <v>8.4499999999999993</v>
      </c>
      <c r="I382" s="3">
        <v>25.61</v>
      </c>
      <c r="J382" s="3">
        <v>15.18</v>
      </c>
      <c r="K382" s="2"/>
      <c r="L382" s="20"/>
      <c r="M382" s="3">
        <v>2.02</v>
      </c>
      <c r="N382" s="2" t="s">
        <v>16</v>
      </c>
      <c r="O382" s="4" t="s">
        <v>17</v>
      </c>
      <c r="P382" s="18" t="s">
        <v>350</v>
      </c>
      <c r="Q382" s="5">
        <f t="shared" si="20"/>
        <v>10.244</v>
      </c>
      <c r="R382" s="5">
        <f t="shared" si="21"/>
        <v>7.59</v>
      </c>
      <c r="S382" s="5">
        <f t="shared" si="22"/>
        <v>1.01</v>
      </c>
      <c r="T382" s="23">
        <f>('Investor-Inputs'!$G$19 * Q382) + ('Investor-Inputs'!$J$19 * R382) + ('Investor-Inputs'!$N$19 * S382)</f>
        <v>46.921999999999997</v>
      </c>
      <c r="U382" s="27">
        <f t="shared" si="23"/>
        <v>289</v>
      </c>
    </row>
    <row r="383" spans="3:21" x14ac:dyDescent="0.25">
      <c r="C383" s="2" t="s">
        <v>107</v>
      </c>
      <c r="D383" s="2">
        <v>4</v>
      </c>
      <c r="E383" s="2" t="s">
        <v>14</v>
      </c>
      <c r="F383" s="2" t="s">
        <v>108</v>
      </c>
      <c r="G383" s="3">
        <v>10.08</v>
      </c>
      <c r="H383" s="3">
        <v>7.41</v>
      </c>
      <c r="I383" s="3">
        <v>24.27</v>
      </c>
      <c r="J383" s="3">
        <v>10.89</v>
      </c>
      <c r="K383" s="2"/>
      <c r="L383" s="20"/>
      <c r="M383" s="3">
        <v>1.05</v>
      </c>
      <c r="N383" s="2" t="s">
        <v>16</v>
      </c>
      <c r="O383" s="4" t="s">
        <v>17</v>
      </c>
      <c r="P383" s="18" t="s">
        <v>350</v>
      </c>
      <c r="Q383" s="5">
        <f t="shared" si="20"/>
        <v>9.7080000000000002</v>
      </c>
      <c r="R383" s="5">
        <f t="shared" si="21"/>
        <v>5.4450000000000003</v>
      </c>
      <c r="S383" s="5">
        <f t="shared" si="22"/>
        <v>0.52500000000000002</v>
      </c>
      <c r="T383" s="23">
        <f>('Investor-Inputs'!$G$19 * Q383) + ('Investor-Inputs'!$J$19 * R383) + ('Investor-Inputs'!$N$19 * S383)</f>
        <v>40.539000000000001</v>
      </c>
      <c r="U383" s="27">
        <f t="shared" si="23"/>
        <v>321</v>
      </c>
    </row>
    <row r="384" spans="3:21" x14ac:dyDescent="0.25">
      <c r="C384" s="2" t="s">
        <v>109</v>
      </c>
      <c r="D384" s="2">
        <v>4</v>
      </c>
      <c r="E384" s="2" t="s">
        <v>14</v>
      </c>
      <c r="F384" s="2" t="s">
        <v>108</v>
      </c>
      <c r="G384" s="3">
        <v>8.4499999999999993</v>
      </c>
      <c r="H384" s="3">
        <v>4.16</v>
      </c>
      <c r="I384" s="3">
        <v>17.829999999999998</v>
      </c>
      <c r="J384" s="3">
        <v>8.85</v>
      </c>
      <c r="K384" s="3">
        <v>18.11</v>
      </c>
      <c r="L384" s="21">
        <v>13.47</v>
      </c>
      <c r="M384" s="3">
        <v>1.74</v>
      </c>
      <c r="N384" s="2" t="s">
        <v>16</v>
      </c>
      <c r="O384" s="4" t="s">
        <v>110</v>
      </c>
      <c r="P384" s="18" t="s">
        <v>350</v>
      </c>
      <c r="Q384" s="5">
        <f t="shared" si="20"/>
        <v>16.186999999999998</v>
      </c>
      <c r="R384" s="5">
        <f t="shared" si="21"/>
        <v>11.16</v>
      </c>
      <c r="S384" s="5">
        <f t="shared" si="22"/>
        <v>9.9249999999999989</v>
      </c>
      <c r="T384" s="23">
        <f>('Investor-Inputs'!$G$19 * Q384) + ('Investor-Inputs'!$J$19 * R384) + ('Investor-Inputs'!$N$19 * S384)</f>
        <v>80.805999999999997</v>
      </c>
      <c r="U384" s="27">
        <f t="shared" si="23"/>
        <v>128</v>
      </c>
    </row>
    <row r="385" spans="3:21" x14ac:dyDescent="0.25">
      <c r="C385" s="2" t="s">
        <v>111</v>
      </c>
      <c r="D385" s="2">
        <v>5</v>
      </c>
      <c r="E385" s="2" t="s">
        <v>14</v>
      </c>
      <c r="F385" s="2" t="s">
        <v>108</v>
      </c>
      <c r="G385" s="3">
        <v>13.73</v>
      </c>
      <c r="H385" s="3">
        <v>8.68</v>
      </c>
      <c r="I385" s="3">
        <v>30.4</v>
      </c>
      <c r="J385" s="3">
        <v>16.61</v>
      </c>
      <c r="K385" s="3">
        <v>22.81</v>
      </c>
      <c r="L385" s="21">
        <v>20.73</v>
      </c>
      <c r="M385" s="3">
        <v>1.98</v>
      </c>
      <c r="N385" s="2" t="s">
        <v>16</v>
      </c>
      <c r="O385" s="4" t="s">
        <v>28</v>
      </c>
      <c r="P385" s="18" t="s">
        <v>350</v>
      </c>
      <c r="Q385" s="5">
        <f t="shared" si="20"/>
        <v>23.564999999999998</v>
      </c>
      <c r="R385" s="5">
        <f t="shared" si="21"/>
        <v>18.670000000000002</v>
      </c>
      <c r="S385" s="5">
        <f t="shared" si="22"/>
        <v>12.395</v>
      </c>
      <c r="T385" s="23">
        <f>('Investor-Inputs'!$G$19 * Q385) + ('Investor-Inputs'!$J$19 * R385) + ('Investor-Inputs'!$N$19 * S385)</f>
        <v>120.42999999999999</v>
      </c>
      <c r="U385" s="27">
        <f t="shared" si="23"/>
        <v>13</v>
      </c>
    </row>
    <row r="386" spans="3:21" x14ac:dyDescent="0.25">
      <c r="C386" s="2" t="s">
        <v>112</v>
      </c>
      <c r="D386" s="2">
        <v>4</v>
      </c>
      <c r="E386" s="2" t="s">
        <v>14</v>
      </c>
      <c r="F386" s="2" t="s">
        <v>108</v>
      </c>
      <c r="G386" s="3">
        <v>9.75</v>
      </c>
      <c r="H386" s="3">
        <v>4.1500000000000004</v>
      </c>
      <c r="I386" s="3">
        <v>19.04</v>
      </c>
      <c r="J386" s="3">
        <v>8.69</v>
      </c>
      <c r="K386" s="3">
        <v>19.37</v>
      </c>
      <c r="L386" s="21">
        <v>14.24</v>
      </c>
      <c r="M386" s="3">
        <v>2.13</v>
      </c>
      <c r="N386" s="2" t="s">
        <v>16</v>
      </c>
      <c r="O386" s="4" t="s">
        <v>24</v>
      </c>
      <c r="P386" s="18" t="s">
        <v>350</v>
      </c>
      <c r="Q386" s="5">
        <f t="shared" si="20"/>
        <v>17.301000000000002</v>
      </c>
      <c r="R386" s="5">
        <f t="shared" si="21"/>
        <v>11.465</v>
      </c>
      <c r="S386" s="5">
        <f t="shared" si="22"/>
        <v>10.75</v>
      </c>
      <c r="T386" s="23">
        <f>('Investor-Inputs'!$G$19 * Q386) + ('Investor-Inputs'!$J$19 * R386) + ('Investor-Inputs'!$N$19 * S386)</f>
        <v>85.582999999999998</v>
      </c>
      <c r="U386" s="27">
        <f t="shared" si="23"/>
        <v>108</v>
      </c>
    </row>
    <row r="387" spans="3:21" x14ac:dyDescent="0.25">
      <c r="C387" s="2" t="s">
        <v>113</v>
      </c>
      <c r="D387" s="2">
        <v>4</v>
      </c>
      <c r="E387" s="2" t="s">
        <v>14</v>
      </c>
      <c r="F387" s="2" t="s">
        <v>108</v>
      </c>
      <c r="G387" s="3">
        <v>7.06</v>
      </c>
      <c r="H387" s="3">
        <v>-5.28</v>
      </c>
      <c r="I387" s="3">
        <v>16.39</v>
      </c>
      <c r="J387" s="3">
        <v>4.8600000000000003</v>
      </c>
      <c r="K387" s="3">
        <v>19.079999999999998</v>
      </c>
      <c r="L387" s="21">
        <v>12.77</v>
      </c>
      <c r="M387" s="3">
        <v>1.62</v>
      </c>
      <c r="N387" s="2" t="s">
        <v>16</v>
      </c>
      <c r="O387" s="4" t="s">
        <v>17</v>
      </c>
      <c r="P387" s="18" t="s">
        <v>350</v>
      </c>
      <c r="Q387" s="5">
        <f t="shared" si="20"/>
        <v>16.096</v>
      </c>
      <c r="R387" s="5">
        <f t="shared" si="21"/>
        <v>8.8149999999999995</v>
      </c>
      <c r="S387" s="5">
        <f t="shared" si="22"/>
        <v>10.35</v>
      </c>
      <c r="T387" s="23">
        <f>('Investor-Inputs'!$G$19 * Q387) + ('Investor-Inputs'!$J$19 * R387) + ('Investor-Inputs'!$N$19 * S387)</f>
        <v>76.267999999999986</v>
      </c>
      <c r="U387" s="27">
        <f t="shared" si="23"/>
        <v>150</v>
      </c>
    </row>
    <row r="388" spans="3:21" x14ac:dyDescent="0.25">
      <c r="C388" s="2" t="s">
        <v>114</v>
      </c>
      <c r="D388" s="2">
        <v>5</v>
      </c>
      <c r="E388" s="2" t="s">
        <v>14</v>
      </c>
      <c r="F388" s="2" t="s">
        <v>108</v>
      </c>
      <c r="G388" s="3">
        <v>11.15</v>
      </c>
      <c r="H388" s="3">
        <v>5.39</v>
      </c>
      <c r="I388" s="3">
        <v>24.12</v>
      </c>
      <c r="J388" s="3">
        <v>12.68</v>
      </c>
      <c r="K388" s="3">
        <v>21.78</v>
      </c>
      <c r="L388" s="21">
        <v>17.54</v>
      </c>
      <c r="M388" s="3">
        <v>1.93</v>
      </c>
      <c r="N388" s="2" t="s">
        <v>16</v>
      </c>
      <c r="O388" s="4" t="s">
        <v>28</v>
      </c>
      <c r="P388" s="18" t="s">
        <v>350</v>
      </c>
      <c r="Q388" s="5">
        <f t="shared" si="20"/>
        <v>20.538000000000004</v>
      </c>
      <c r="R388" s="5">
        <f t="shared" si="21"/>
        <v>15.11</v>
      </c>
      <c r="S388" s="5">
        <f t="shared" si="22"/>
        <v>11.855</v>
      </c>
      <c r="T388" s="23">
        <f>('Investor-Inputs'!$G$19 * Q388) + ('Investor-Inputs'!$J$19 * R388) + ('Investor-Inputs'!$N$19 * S388)</f>
        <v>103.68900000000001</v>
      </c>
      <c r="U388" s="27">
        <f t="shared" si="23"/>
        <v>41</v>
      </c>
    </row>
    <row r="389" spans="3:21" x14ac:dyDescent="0.25">
      <c r="C389" s="2" t="s">
        <v>115</v>
      </c>
      <c r="D389" s="2">
        <v>4</v>
      </c>
      <c r="E389" s="2" t="s">
        <v>14</v>
      </c>
      <c r="F389" s="2" t="s">
        <v>108</v>
      </c>
      <c r="G389" s="3">
        <v>12.21</v>
      </c>
      <c r="H389" s="3">
        <v>10.35</v>
      </c>
      <c r="I389" s="3">
        <v>25.17</v>
      </c>
      <c r="J389" s="3">
        <v>13.49</v>
      </c>
      <c r="K389" s="3">
        <v>17.59</v>
      </c>
      <c r="L389" s="21">
        <v>17.59</v>
      </c>
      <c r="M389" s="3">
        <v>1.95</v>
      </c>
      <c r="N389" s="2" t="s">
        <v>16</v>
      </c>
      <c r="O389" s="4" t="s">
        <v>17</v>
      </c>
      <c r="P389" s="18" t="s">
        <v>350</v>
      </c>
      <c r="Q389" s="5">
        <f t="shared" si="20"/>
        <v>18.863</v>
      </c>
      <c r="R389" s="5">
        <f t="shared" si="21"/>
        <v>15.54</v>
      </c>
      <c r="S389" s="5">
        <f t="shared" si="22"/>
        <v>9.77</v>
      </c>
      <c r="T389" s="23">
        <f>('Investor-Inputs'!$G$19 * Q389) + ('Investor-Inputs'!$J$19 * R389) + ('Investor-Inputs'!$N$19 * S389)</f>
        <v>97.438999999999993</v>
      </c>
      <c r="U389" s="27">
        <f t="shared" si="23"/>
        <v>55</v>
      </c>
    </row>
    <row r="390" spans="3:21" x14ac:dyDescent="0.25">
      <c r="C390" s="2" t="s">
        <v>116</v>
      </c>
      <c r="D390" s="2">
        <v>4</v>
      </c>
      <c r="E390" s="2" t="s">
        <v>14</v>
      </c>
      <c r="F390" s="2" t="s">
        <v>108</v>
      </c>
      <c r="G390" s="3">
        <v>9.85</v>
      </c>
      <c r="H390" s="3">
        <v>7.03</v>
      </c>
      <c r="I390" s="3">
        <v>24.28</v>
      </c>
      <c r="J390" s="3">
        <v>10.96</v>
      </c>
      <c r="K390" s="2"/>
      <c r="L390" s="20"/>
      <c r="M390" s="3">
        <v>1.52</v>
      </c>
      <c r="N390" s="2" t="s">
        <v>16</v>
      </c>
      <c r="O390" s="4" t="s">
        <v>17</v>
      </c>
      <c r="P390" s="18" t="s">
        <v>350</v>
      </c>
      <c r="Q390" s="5">
        <f t="shared" si="20"/>
        <v>9.7120000000000015</v>
      </c>
      <c r="R390" s="5">
        <f t="shared" si="21"/>
        <v>5.48</v>
      </c>
      <c r="S390" s="5">
        <f t="shared" si="22"/>
        <v>0.76</v>
      </c>
      <c r="T390" s="23">
        <f>('Investor-Inputs'!$G$19 * Q390) + ('Investor-Inputs'!$J$19 * R390) + ('Investor-Inputs'!$N$19 * S390)</f>
        <v>40.856000000000002</v>
      </c>
      <c r="U390" s="27">
        <f t="shared" si="23"/>
        <v>315</v>
      </c>
    </row>
    <row r="391" spans="3:21" x14ac:dyDescent="0.25">
      <c r="C391" s="2" t="s">
        <v>117</v>
      </c>
      <c r="D391" s="2">
        <v>4</v>
      </c>
      <c r="E391" s="2" t="s">
        <v>14</v>
      </c>
      <c r="F391" s="2" t="s">
        <v>108</v>
      </c>
      <c r="G391" s="3">
        <v>13.69</v>
      </c>
      <c r="H391" s="3">
        <v>10.210000000000001</v>
      </c>
      <c r="I391" s="3">
        <v>24.06</v>
      </c>
      <c r="J391" s="3">
        <v>11.35</v>
      </c>
      <c r="K391" s="2"/>
      <c r="L391" s="20"/>
      <c r="M391" s="3">
        <v>2.96</v>
      </c>
      <c r="N391" s="2" t="s">
        <v>16</v>
      </c>
      <c r="O391" s="4" t="s">
        <v>17</v>
      </c>
      <c r="P391" s="18" t="s">
        <v>350</v>
      </c>
      <c r="Q391" s="5">
        <f t="shared" si="20"/>
        <v>9.6240000000000006</v>
      </c>
      <c r="R391" s="5">
        <f t="shared" si="21"/>
        <v>5.6749999999999998</v>
      </c>
      <c r="S391" s="5">
        <f t="shared" si="22"/>
        <v>1.48</v>
      </c>
      <c r="T391" s="23">
        <f>('Investor-Inputs'!$G$19 * Q391) + ('Investor-Inputs'!$J$19 * R391) + ('Investor-Inputs'!$N$19 * S391)</f>
        <v>41.701999999999998</v>
      </c>
      <c r="U391" s="27">
        <f t="shared" si="23"/>
        <v>309</v>
      </c>
    </row>
    <row r="392" spans="3:21" x14ac:dyDescent="0.25">
      <c r="C392" s="2" t="s">
        <v>118</v>
      </c>
      <c r="D392" s="2">
        <v>4</v>
      </c>
      <c r="E392" s="2" t="s">
        <v>14</v>
      </c>
      <c r="F392" s="2" t="s">
        <v>108</v>
      </c>
      <c r="G392" s="3">
        <v>10.36</v>
      </c>
      <c r="H392" s="3">
        <v>7.52</v>
      </c>
      <c r="I392" s="3">
        <v>21.1</v>
      </c>
      <c r="J392" s="3">
        <v>9.5500000000000007</v>
      </c>
      <c r="K392" s="3">
        <v>22.34</v>
      </c>
      <c r="L392" s="21">
        <v>16.63</v>
      </c>
      <c r="M392" s="3">
        <v>1.5</v>
      </c>
      <c r="N392" s="2" t="s">
        <v>16</v>
      </c>
      <c r="O392" s="4" t="s">
        <v>17</v>
      </c>
      <c r="P392" s="18" t="s">
        <v>350</v>
      </c>
      <c r="Q392" s="5">
        <f t="shared" ref="Q392:Q455" si="24">I392*0.4+K392*0.5</f>
        <v>19.61</v>
      </c>
      <c r="R392" s="5">
        <f t="shared" ref="R392:R455" si="25">(L392+J392)/2</f>
        <v>13.09</v>
      </c>
      <c r="S392" s="5">
        <f t="shared" ref="S392:S455" si="26">(M392+K392)/2</f>
        <v>11.92</v>
      </c>
      <c r="T392" s="23">
        <f>('Investor-Inputs'!$G$19 * Q392) + ('Investor-Inputs'!$J$19 * R392) + ('Investor-Inputs'!$N$19 * S392)</f>
        <v>96.929999999999993</v>
      </c>
      <c r="U392" s="27">
        <f t="shared" ref="U392:U455" si="27">_xlfn.RANK.EQ(T392,$T$7:$T$592,0)</f>
        <v>57</v>
      </c>
    </row>
    <row r="393" spans="3:21" x14ac:dyDescent="0.25">
      <c r="C393" s="2" t="s">
        <v>119</v>
      </c>
      <c r="D393" s="2">
        <v>4</v>
      </c>
      <c r="E393" s="2" t="s">
        <v>14</v>
      </c>
      <c r="F393" s="2" t="s">
        <v>108</v>
      </c>
      <c r="G393" s="3">
        <v>8.43</v>
      </c>
      <c r="H393" s="3">
        <v>7.23</v>
      </c>
      <c r="I393" s="3">
        <v>20.13</v>
      </c>
      <c r="J393" s="3">
        <v>8.4600000000000009</v>
      </c>
      <c r="K393" s="3">
        <v>21.82</v>
      </c>
      <c r="L393" s="21">
        <v>15.83</v>
      </c>
      <c r="M393" s="3">
        <v>2.02</v>
      </c>
      <c r="N393" s="2" t="s">
        <v>16</v>
      </c>
      <c r="O393" s="4" t="s">
        <v>28</v>
      </c>
      <c r="P393" s="18" t="s">
        <v>350</v>
      </c>
      <c r="Q393" s="5">
        <f t="shared" si="24"/>
        <v>18.962</v>
      </c>
      <c r="R393" s="5">
        <f t="shared" si="25"/>
        <v>12.145</v>
      </c>
      <c r="S393" s="5">
        <f t="shared" si="26"/>
        <v>11.92</v>
      </c>
      <c r="T393" s="23">
        <f>('Investor-Inputs'!$G$19 * Q393) + ('Investor-Inputs'!$J$19 * R393) + ('Investor-Inputs'!$N$19 * S393)</f>
        <v>93.095999999999989</v>
      </c>
      <c r="U393" s="27">
        <f t="shared" si="27"/>
        <v>73</v>
      </c>
    </row>
    <row r="394" spans="3:21" x14ac:dyDescent="0.25">
      <c r="C394" s="2" t="s">
        <v>120</v>
      </c>
      <c r="D394" s="2">
        <v>4</v>
      </c>
      <c r="E394" s="2" t="s">
        <v>14</v>
      </c>
      <c r="F394" s="2" t="s">
        <v>108</v>
      </c>
      <c r="G394" s="3">
        <v>15.74</v>
      </c>
      <c r="H394" s="3">
        <v>12.23</v>
      </c>
      <c r="I394" s="3">
        <v>20.48</v>
      </c>
      <c r="J394" s="3">
        <v>11.42</v>
      </c>
      <c r="K394" s="3">
        <v>19.420000000000002</v>
      </c>
      <c r="L394" s="21">
        <v>15.46</v>
      </c>
      <c r="M394" s="3">
        <v>1.91</v>
      </c>
      <c r="N394" s="2" t="s">
        <v>16</v>
      </c>
      <c r="O394" s="4" t="s">
        <v>24</v>
      </c>
      <c r="P394" s="18" t="s">
        <v>350</v>
      </c>
      <c r="Q394" s="5">
        <f t="shared" si="24"/>
        <v>17.902000000000001</v>
      </c>
      <c r="R394" s="5">
        <f t="shared" si="25"/>
        <v>13.440000000000001</v>
      </c>
      <c r="S394" s="5">
        <f t="shared" si="26"/>
        <v>10.665000000000001</v>
      </c>
      <c r="T394" s="23">
        <f>('Investor-Inputs'!$G$19 * Q394) + ('Investor-Inputs'!$J$19 * R394) + ('Investor-Inputs'!$N$19 * S394)</f>
        <v>91.251000000000019</v>
      </c>
      <c r="U394" s="27">
        <f t="shared" si="27"/>
        <v>77</v>
      </c>
    </row>
    <row r="395" spans="3:21" x14ac:dyDescent="0.25">
      <c r="C395" s="2" t="s">
        <v>121</v>
      </c>
      <c r="D395" s="2">
        <v>4</v>
      </c>
      <c r="E395" s="2" t="s">
        <v>14</v>
      </c>
      <c r="F395" s="2" t="s">
        <v>122</v>
      </c>
      <c r="G395" s="3">
        <v>7.95</v>
      </c>
      <c r="H395" s="3">
        <v>2.57</v>
      </c>
      <c r="I395" s="3">
        <v>20.8</v>
      </c>
      <c r="J395" s="3">
        <v>10.98</v>
      </c>
      <c r="K395" s="2"/>
      <c r="L395" s="20"/>
      <c r="M395" s="3">
        <v>2.5499999999999998</v>
      </c>
      <c r="N395" s="2" t="s">
        <v>16</v>
      </c>
      <c r="O395" s="4" t="s">
        <v>17</v>
      </c>
      <c r="P395" s="18" t="s">
        <v>350</v>
      </c>
      <c r="Q395" s="5">
        <f t="shared" si="24"/>
        <v>8.32</v>
      </c>
      <c r="R395" s="5">
        <f t="shared" si="25"/>
        <v>5.49</v>
      </c>
      <c r="S395" s="5">
        <f t="shared" si="26"/>
        <v>1.2749999999999999</v>
      </c>
      <c r="T395" s="23">
        <f>('Investor-Inputs'!$G$19 * Q395) + ('Investor-Inputs'!$J$19 * R395) + ('Investor-Inputs'!$N$19 * S395)</f>
        <v>37.214999999999996</v>
      </c>
      <c r="U395" s="27">
        <f t="shared" si="27"/>
        <v>339</v>
      </c>
    </row>
    <row r="396" spans="3:21" x14ac:dyDescent="0.25">
      <c r="C396" s="2" t="s">
        <v>123</v>
      </c>
      <c r="D396" s="2">
        <v>4</v>
      </c>
      <c r="E396" s="2" t="s">
        <v>14</v>
      </c>
      <c r="F396" s="2" t="s">
        <v>122</v>
      </c>
      <c r="G396" s="3">
        <v>1.38</v>
      </c>
      <c r="H396" s="3">
        <v>-2.0099999999999998</v>
      </c>
      <c r="I396" s="3">
        <v>15.19</v>
      </c>
      <c r="J396" s="3">
        <v>5.58</v>
      </c>
      <c r="K396" s="3">
        <v>16.440000000000001</v>
      </c>
      <c r="L396" s="21">
        <v>11.3</v>
      </c>
      <c r="M396" s="3">
        <v>2.1</v>
      </c>
      <c r="N396" s="2" t="s">
        <v>16</v>
      </c>
      <c r="O396" s="4" t="s">
        <v>24</v>
      </c>
      <c r="P396" s="18" t="s">
        <v>350</v>
      </c>
      <c r="Q396" s="5">
        <f t="shared" si="24"/>
        <v>14.296000000000001</v>
      </c>
      <c r="R396" s="5">
        <f t="shared" si="25"/>
        <v>8.4400000000000013</v>
      </c>
      <c r="S396" s="5">
        <f t="shared" si="26"/>
        <v>9.2700000000000014</v>
      </c>
      <c r="T396" s="23">
        <f>('Investor-Inputs'!$G$19 * Q396) + ('Investor-Inputs'!$J$19 * R396) + ('Investor-Inputs'!$N$19 * S396)</f>
        <v>69.038000000000011</v>
      </c>
      <c r="U396" s="27">
        <f t="shared" si="27"/>
        <v>194</v>
      </c>
    </row>
    <row r="397" spans="3:21" x14ac:dyDescent="0.25">
      <c r="C397" s="2" t="s">
        <v>124</v>
      </c>
      <c r="D397" s="2">
        <v>5</v>
      </c>
      <c r="E397" s="2" t="s">
        <v>14</v>
      </c>
      <c r="F397" s="2" t="s">
        <v>122</v>
      </c>
      <c r="G397" s="3">
        <v>15.03</v>
      </c>
      <c r="H397" s="3">
        <v>10.36</v>
      </c>
      <c r="I397" s="3">
        <v>19.21</v>
      </c>
      <c r="J397" s="3">
        <v>13.9</v>
      </c>
      <c r="K397" s="3">
        <v>15.01</v>
      </c>
      <c r="L397" s="21">
        <v>15.12</v>
      </c>
      <c r="M397" s="3">
        <v>1.94</v>
      </c>
      <c r="N397" s="2" t="s">
        <v>16</v>
      </c>
      <c r="O397" s="4" t="s">
        <v>24</v>
      </c>
      <c r="P397" s="18" t="s">
        <v>350</v>
      </c>
      <c r="Q397" s="5">
        <f t="shared" si="24"/>
        <v>15.189</v>
      </c>
      <c r="R397" s="5">
        <f t="shared" si="25"/>
        <v>14.51</v>
      </c>
      <c r="S397" s="5">
        <f t="shared" si="26"/>
        <v>8.4749999999999996</v>
      </c>
      <c r="T397" s="23">
        <f>('Investor-Inputs'!$G$19 * Q397) + ('Investor-Inputs'!$J$19 * R397) + ('Investor-Inputs'!$N$19 * S397)</f>
        <v>83.061999999999998</v>
      </c>
      <c r="U397" s="27">
        <f t="shared" si="27"/>
        <v>116</v>
      </c>
    </row>
    <row r="398" spans="3:21" x14ac:dyDescent="0.25">
      <c r="C398" s="2" t="s">
        <v>125</v>
      </c>
      <c r="D398" s="2">
        <v>4</v>
      </c>
      <c r="E398" s="2" t="s">
        <v>14</v>
      </c>
      <c r="F398" s="2" t="s">
        <v>122</v>
      </c>
      <c r="G398" s="3">
        <v>10.09</v>
      </c>
      <c r="H398" s="3">
        <v>4.37</v>
      </c>
      <c r="I398" s="3">
        <v>21.67</v>
      </c>
      <c r="J398" s="3">
        <v>11.81</v>
      </c>
      <c r="K398" s="3">
        <v>19.47</v>
      </c>
      <c r="L398" s="21">
        <v>16.66</v>
      </c>
      <c r="M398" s="3">
        <v>1.71</v>
      </c>
      <c r="N398" s="2" t="s">
        <v>16</v>
      </c>
      <c r="O398" s="4" t="s">
        <v>28</v>
      </c>
      <c r="P398" s="18" t="s">
        <v>350</v>
      </c>
      <c r="Q398" s="5">
        <f t="shared" si="24"/>
        <v>18.402999999999999</v>
      </c>
      <c r="R398" s="5">
        <f t="shared" si="25"/>
        <v>14.234999999999999</v>
      </c>
      <c r="S398" s="5">
        <f t="shared" si="26"/>
        <v>10.59</v>
      </c>
      <c r="T398" s="23">
        <f>('Investor-Inputs'!$G$19 * Q398) + ('Investor-Inputs'!$J$19 * R398) + ('Investor-Inputs'!$N$19 * S398)</f>
        <v>94.269000000000005</v>
      </c>
      <c r="U398" s="27">
        <f t="shared" si="27"/>
        <v>59</v>
      </c>
    </row>
    <row r="399" spans="3:21" x14ac:dyDescent="0.25">
      <c r="C399" s="2" t="s">
        <v>126</v>
      </c>
      <c r="D399" s="2">
        <v>5</v>
      </c>
      <c r="E399" s="2" t="s">
        <v>14</v>
      </c>
      <c r="F399" s="2" t="s">
        <v>122</v>
      </c>
      <c r="G399" s="3">
        <v>2.1</v>
      </c>
      <c r="H399" s="3">
        <v>-4.21</v>
      </c>
      <c r="I399" s="3">
        <v>17.739999999999998</v>
      </c>
      <c r="J399" s="3">
        <v>8.6999999999999993</v>
      </c>
      <c r="K399" s="3">
        <v>18.510000000000002</v>
      </c>
      <c r="L399" s="21">
        <v>14.3</v>
      </c>
      <c r="M399" s="3">
        <v>2.99</v>
      </c>
      <c r="N399" s="2" t="s">
        <v>16</v>
      </c>
      <c r="O399" s="4" t="s">
        <v>17</v>
      </c>
      <c r="P399" s="18" t="s">
        <v>350</v>
      </c>
      <c r="Q399" s="5">
        <f t="shared" si="24"/>
        <v>16.350999999999999</v>
      </c>
      <c r="R399" s="5">
        <f t="shared" si="25"/>
        <v>11.5</v>
      </c>
      <c r="S399" s="5">
        <f t="shared" si="26"/>
        <v>10.75</v>
      </c>
      <c r="T399" s="23">
        <f>('Investor-Inputs'!$G$19 * Q399) + ('Investor-Inputs'!$J$19 * R399) + ('Investor-Inputs'!$N$19 * S399)</f>
        <v>82.802999999999997</v>
      </c>
      <c r="U399" s="27">
        <f t="shared" si="27"/>
        <v>120</v>
      </c>
    </row>
    <row r="400" spans="3:21" x14ac:dyDescent="0.25">
      <c r="C400" s="2" t="s">
        <v>127</v>
      </c>
      <c r="D400" s="2">
        <v>4</v>
      </c>
      <c r="E400" s="2" t="s">
        <v>14</v>
      </c>
      <c r="F400" s="2" t="s">
        <v>122</v>
      </c>
      <c r="G400" s="3">
        <v>5.61</v>
      </c>
      <c r="H400" s="3">
        <v>-1.69</v>
      </c>
      <c r="I400" s="3">
        <v>18.43</v>
      </c>
      <c r="J400" s="3">
        <v>8.5399999999999991</v>
      </c>
      <c r="K400" s="3">
        <v>16.43</v>
      </c>
      <c r="L400" s="21">
        <v>13.63</v>
      </c>
      <c r="M400" s="3">
        <v>2.6</v>
      </c>
      <c r="N400" s="2" t="s">
        <v>16</v>
      </c>
      <c r="O400" s="4" t="s">
        <v>24</v>
      </c>
      <c r="P400" s="18" t="s">
        <v>350</v>
      </c>
      <c r="Q400" s="5">
        <f t="shared" si="24"/>
        <v>15.587</v>
      </c>
      <c r="R400" s="5">
        <f t="shared" si="25"/>
        <v>11.085000000000001</v>
      </c>
      <c r="S400" s="5">
        <f t="shared" si="26"/>
        <v>9.5150000000000006</v>
      </c>
      <c r="T400" s="23">
        <f>('Investor-Inputs'!$G$19 * Q400) + ('Investor-Inputs'!$J$19 * R400) + ('Investor-Inputs'!$N$19 * S400)</f>
        <v>78.445999999999998</v>
      </c>
      <c r="U400" s="27">
        <f t="shared" si="27"/>
        <v>138</v>
      </c>
    </row>
    <row r="401" spans="3:21" x14ac:dyDescent="0.25">
      <c r="C401" s="2" t="s">
        <v>128</v>
      </c>
      <c r="D401" s="2">
        <v>5</v>
      </c>
      <c r="E401" s="2" t="s">
        <v>14</v>
      </c>
      <c r="F401" s="2" t="s">
        <v>122</v>
      </c>
      <c r="G401" s="3">
        <v>18.63</v>
      </c>
      <c r="H401" s="3">
        <v>14.41</v>
      </c>
      <c r="I401" s="3">
        <v>30.67</v>
      </c>
      <c r="J401" s="3">
        <v>18.850000000000001</v>
      </c>
      <c r="K401" s="2"/>
      <c r="L401" s="20"/>
      <c r="M401" s="3">
        <v>1.3</v>
      </c>
      <c r="N401" s="2" t="s">
        <v>16</v>
      </c>
      <c r="O401" s="4" t="s">
        <v>28</v>
      </c>
      <c r="P401" s="18" t="s">
        <v>350</v>
      </c>
      <c r="Q401" s="5">
        <f t="shared" si="24"/>
        <v>12.268000000000001</v>
      </c>
      <c r="R401" s="5">
        <f t="shared" si="25"/>
        <v>9.4250000000000007</v>
      </c>
      <c r="S401" s="5">
        <f t="shared" si="26"/>
        <v>0.65</v>
      </c>
      <c r="T401" s="23">
        <f>('Investor-Inputs'!$G$19 * Q401) + ('Investor-Inputs'!$J$19 * R401) + ('Investor-Inputs'!$N$19 * S401)</f>
        <v>56.304000000000002</v>
      </c>
      <c r="U401" s="27">
        <f t="shared" si="27"/>
        <v>254</v>
      </c>
    </row>
    <row r="402" spans="3:21" x14ac:dyDescent="0.25">
      <c r="C402" s="2" t="s">
        <v>129</v>
      </c>
      <c r="D402" s="2">
        <v>4</v>
      </c>
      <c r="E402" s="2" t="s">
        <v>14</v>
      </c>
      <c r="F402" s="2" t="s">
        <v>122</v>
      </c>
      <c r="G402" s="3">
        <v>3.74</v>
      </c>
      <c r="H402" s="3">
        <v>-0.32</v>
      </c>
      <c r="I402" s="3">
        <v>20.81</v>
      </c>
      <c r="J402" s="3">
        <v>9.3000000000000007</v>
      </c>
      <c r="K402" s="3">
        <v>18.079999999999998</v>
      </c>
      <c r="L402" s="21">
        <v>14.56</v>
      </c>
      <c r="M402" s="3">
        <v>2.3199999999999998</v>
      </c>
      <c r="N402" s="2" t="s">
        <v>16</v>
      </c>
      <c r="O402" s="4" t="s">
        <v>28</v>
      </c>
      <c r="P402" s="18" t="s">
        <v>350</v>
      </c>
      <c r="Q402" s="5">
        <f t="shared" si="24"/>
        <v>17.363999999999997</v>
      </c>
      <c r="R402" s="5">
        <f t="shared" si="25"/>
        <v>11.93</v>
      </c>
      <c r="S402" s="5">
        <f t="shared" si="26"/>
        <v>10.199999999999999</v>
      </c>
      <c r="T402" s="23">
        <f>('Investor-Inputs'!$G$19 * Q402) + ('Investor-Inputs'!$J$19 * R402) + ('Investor-Inputs'!$N$19 * S402)</f>
        <v>86.152000000000001</v>
      </c>
      <c r="U402" s="27">
        <f t="shared" si="27"/>
        <v>104</v>
      </c>
    </row>
    <row r="403" spans="3:21" x14ac:dyDescent="0.25">
      <c r="C403" s="2" t="s">
        <v>130</v>
      </c>
      <c r="D403" s="2">
        <v>5</v>
      </c>
      <c r="E403" s="2" t="s">
        <v>14</v>
      </c>
      <c r="F403" s="2" t="s">
        <v>122</v>
      </c>
      <c r="G403" s="3">
        <v>0.88</v>
      </c>
      <c r="H403" s="3">
        <v>-4.16</v>
      </c>
      <c r="I403" s="3">
        <v>16.399999999999999</v>
      </c>
      <c r="J403" s="3">
        <v>6.07</v>
      </c>
      <c r="K403" s="3">
        <v>19.22</v>
      </c>
      <c r="L403" s="21">
        <v>13.41</v>
      </c>
      <c r="M403" s="3">
        <v>1.48</v>
      </c>
      <c r="N403" s="2" t="s">
        <v>16</v>
      </c>
      <c r="O403" s="4" t="s">
        <v>17</v>
      </c>
      <c r="P403" s="18" t="s">
        <v>350</v>
      </c>
      <c r="Q403" s="5">
        <f t="shared" si="24"/>
        <v>16.169999999999998</v>
      </c>
      <c r="R403" s="5">
        <f t="shared" si="25"/>
        <v>9.74</v>
      </c>
      <c r="S403" s="5">
        <f t="shared" si="26"/>
        <v>10.35</v>
      </c>
      <c r="T403" s="23">
        <f>('Investor-Inputs'!$G$19 * Q403) + ('Investor-Inputs'!$J$19 * R403) + ('Investor-Inputs'!$N$19 * S403)</f>
        <v>78.339999999999989</v>
      </c>
      <c r="U403" s="27">
        <f t="shared" si="27"/>
        <v>140</v>
      </c>
    </row>
    <row r="404" spans="3:21" x14ac:dyDescent="0.25">
      <c r="C404" s="2" t="s">
        <v>131</v>
      </c>
      <c r="D404" s="2">
        <v>4</v>
      </c>
      <c r="E404" s="2" t="s">
        <v>14</v>
      </c>
      <c r="F404" s="2" t="s">
        <v>132</v>
      </c>
      <c r="G404" s="3">
        <v>3.14</v>
      </c>
      <c r="H404" s="3">
        <v>-0.96</v>
      </c>
      <c r="I404" s="3">
        <v>13.9</v>
      </c>
      <c r="J404" s="3">
        <v>5.6</v>
      </c>
      <c r="K404" s="3">
        <v>14.19</v>
      </c>
      <c r="L404" s="21">
        <v>10.15</v>
      </c>
      <c r="M404" s="3">
        <v>2.12</v>
      </c>
      <c r="N404" s="2" t="s">
        <v>16</v>
      </c>
      <c r="O404" s="4" t="s">
        <v>24</v>
      </c>
      <c r="P404" s="18" t="s">
        <v>350</v>
      </c>
      <c r="Q404" s="5">
        <f t="shared" si="24"/>
        <v>12.655000000000001</v>
      </c>
      <c r="R404" s="5">
        <f t="shared" si="25"/>
        <v>7.875</v>
      </c>
      <c r="S404" s="5">
        <f t="shared" si="26"/>
        <v>8.1549999999999994</v>
      </c>
      <c r="T404" s="23">
        <f>('Investor-Inputs'!$G$19 * Q404) + ('Investor-Inputs'!$J$19 * R404) + ('Investor-Inputs'!$N$19 * S404)</f>
        <v>61.870000000000005</v>
      </c>
      <c r="U404" s="27">
        <f t="shared" si="27"/>
        <v>228</v>
      </c>
    </row>
    <row r="405" spans="3:21" x14ac:dyDescent="0.25">
      <c r="C405" s="2" t="s">
        <v>133</v>
      </c>
      <c r="D405" s="2">
        <v>4</v>
      </c>
      <c r="E405" s="2" t="s">
        <v>14</v>
      </c>
      <c r="F405" s="2" t="s">
        <v>132</v>
      </c>
      <c r="G405" s="3">
        <v>6.36</v>
      </c>
      <c r="H405" s="3">
        <v>2.29</v>
      </c>
      <c r="I405" s="3">
        <v>18.010000000000002</v>
      </c>
      <c r="J405" s="3">
        <v>9.65</v>
      </c>
      <c r="K405" s="3">
        <v>14.12</v>
      </c>
      <c r="L405" s="21">
        <v>12.4</v>
      </c>
      <c r="M405" s="3">
        <v>2.31</v>
      </c>
      <c r="N405" s="2" t="s">
        <v>16</v>
      </c>
      <c r="O405" s="4" t="s">
        <v>17</v>
      </c>
      <c r="P405" s="18" t="s">
        <v>350</v>
      </c>
      <c r="Q405" s="5">
        <f t="shared" si="24"/>
        <v>14.263999999999999</v>
      </c>
      <c r="R405" s="5">
        <f t="shared" si="25"/>
        <v>11.025</v>
      </c>
      <c r="S405" s="5">
        <f t="shared" si="26"/>
        <v>8.2149999999999999</v>
      </c>
      <c r="T405" s="23">
        <f>('Investor-Inputs'!$G$19 * Q405) + ('Investor-Inputs'!$J$19 * R405) + ('Investor-Inputs'!$N$19 * S405)</f>
        <v>73.057000000000002</v>
      </c>
      <c r="U405" s="27">
        <f t="shared" si="27"/>
        <v>176</v>
      </c>
    </row>
    <row r="406" spans="3:21" x14ac:dyDescent="0.25">
      <c r="C406" s="2" t="s">
        <v>134</v>
      </c>
      <c r="D406" s="2">
        <v>4</v>
      </c>
      <c r="E406" s="2" t="s">
        <v>14</v>
      </c>
      <c r="F406" s="2" t="s">
        <v>132</v>
      </c>
      <c r="G406" s="3">
        <v>0.61</v>
      </c>
      <c r="H406" s="3">
        <v>-4.0999999999999996</v>
      </c>
      <c r="I406" s="3">
        <v>17.86</v>
      </c>
      <c r="J406" s="3">
        <v>8.02</v>
      </c>
      <c r="K406" s="3">
        <v>15.3</v>
      </c>
      <c r="L406" s="21">
        <v>12.36</v>
      </c>
      <c r="M406" s="3">
        <v>1.81</v>
      </c>
      <c r="N406" s="2" t="s">
        <v>16</v>
      </c>
      <c r="O406" s="4" t="s">
        <v>17</v>
      </c>
      <c r="P406" s="18" t="s">
        <v>350</v>
      </c>
      <c r="Q406" s="5">
        <f t="shared" si="24"/>
        <v>14.794</v>
      </c>
      <c r="R406" s="5">
        <f t="shared" si="25"/>
        <v>10.19</v>
      </c>
      <c r="S406" s="5">
        <f t="shared" si="26"/>
        <v>8.5549999999999997</v>
      </c>
      <c r="T406" s="23">
        <f>('Investor-Inputs'!$G$19 * Q406) + ('Investor-Inputs'!$J$19 * R406) + ('Investor-Inputs'!$N$19 * S406)</f>
        <v>73.317000000000007</v>
      </c>
      <c r="U406" s="27">
        <f t="shared" si="27"/>
        <v>174</v>
      </c>
    </row>
    <row r="407" spans="3:21" x14ac:dyDescent="0.25">
      <c r="C407" s="2" t="s">
        <v>135</v>
      </c>
      <c r="D407" s="2">
        <v>4</v>
      </c>
      <c r="E407" s="2" t="s">
        <v>14</v>
      </c>
      <c r="F407" s="2" t="s">
        <v>132</v>
      </c>
      <c r="G407" s="3">
        <v>-2.77</v>
      </c>
      <c r="H407" s="3">
        <v>-7.99</v>
      </c>
      <c r="I407" s="3">
        <v>15.53</v>
      </c>
      <c r="J407" s="3">
        <v>4.93</v>
      </c>
      <c r="K407" s="3">
        <v>14.72</v>
      </c>
      <c r="L407" s="21">
        <v>10.67</v>
      </c>
      <c r="M407" s="3">
        <v>1.83</v>
      </c>
      <c r="N407" s="2" t="s">
        <v>16</v>
      </c>
      <c r="O407" s="4" t="s">
        <v>24</v>
      </c>
      <c r="P407" s="18" t="s">
        <v>350</v>
      </c>
      <c r="Q407" s="5">
        <f t="shared" si="24"/>
        <v>13.571999999999999</v>
      </c>
      <c r="R407" s="5">
        <f t="shared" si="25"/>
        <v>7.8</v>
      </c>
      <c r="S407" s="5">
        <f t="shared" si="26"/>
        <v>8.2750000000000004</v>
      </c>
      <c r="T407" s="23">
        <f>('Investor-Inputs'!$G$19 * Q407) + ('Investor-Inputs'!$J$19 * R407) + ('Investor-Inputs'!$N$19 * S407)</f>
        <v>64.590999999999994</v>
      </c>
      <c r="U407" s="27">
        <f t="shared" si="27"/>
        <v>208</v>
      </c>
    </row>
    <row r="408" spans="3:21" x14ac:dyDescent="0.25">
      <c r="C408" s="2" t="s">
        <v>136</v>
      </c>
      <c r="D408" s="2">
        <v>5</v>
      </c>
      <c r="E408" s="2" t="s">
        <v>14</v>
      </c>
      <c r="F408" s="2" t="s">
        <v>132</v>
      </c>
      <c r="G408" s="3">
        <v>-2.14</v>
      </c>
      <c r="H408" s="3">
        <v>-8.99</v>
      </c>
      <c r="I408" s="3">
        <v>17.36</v>
      </c>
      <c r="J408" s="3">
        <v>7</v>
      </c>
      <c r="K408" s="3">
        <v>17.97</v>
      </c>
      <c r="L408" s="21">
        <v>13.3</v>
      </c>
      <c r="M408" s="3">
        <v>1.69</v>
      </c>
      <c r="N408" s="2" t="s">
        <v>16</v>
      </c>
      <c r="O408" s="4" t="s">
        <v>17</v>
      </c>
      <c r="P408" s="18" t="s">
        <v>350</v>
      </c>
      <c r="Q408" s="5">
        <f t="shared" si="24"/>
        <v>15.928999999999998</v>
      </c>
      <c r="R408" s="5">
        <f t="shared" si="25"/>
        <v>10.15</v>
      </c>
      <c r="S408" s="5">
        <f t="shared" si="26"/>
        <v>9.83</v>
      </c>
      <c r="T408" s="23">
        <f>('Investor-Inputs'!$G$19 * Q408) + ('Investor-Inputs'!$J$19 * R408) + ('Investor-Inputs'!$N$19 * S408)</f>
        <v>77.916999999999987</v>
      </c>
      <c r="U408" s="27">
        <f t="shared" si="27"/>
        <v>146</v>
      </c>
    </row>
    <row r="409" spans="3:21" x14ac:dyDescent="0.25">
      <c r="C409" s="2" t="s">
        <v>137</v>
      </c>
      <c r="D409" s="2">
        <v>4</v>
      </c>
      <c r="E409" s="2" t="s">
        <v>14</v>
      </c>
      <c r="F409" s="2" t="s">
        <v>132</v>
      </c>
      <c r="G409" s="3">
        <v>6.74</v>
      </c>
      <c r="H409" s="3">
        <v>0.87</v>
      </c>
      <c r="I409" s="3">
        <v>18.21</v>
      </c>
      <c r="J409" s="3">
        <v>9.58</v>
      </c>
      <c r="K409" s="3">
        <v>14.59</v>
      </c>
      <c r="L409" s="21">
        <v>13.03</v>
      </c>
      <c r="M409" s="3">
        <v>2.06</v>
      </c>
      <c r="N409" s="2" t="s">
        <v>16</v>
      </c>
      <c r="O409" s="4" t="s">
        <v>17</v>
      </c>
      <c r="P409" s="18" t="s">
        <v>350</v>
      </c>
      <c r="Q409" s="5">
        <f t="shared" si="24"/>
        <v>14.579000000000001</v>
      </c>
      <c r="R409" s="5">
        <f t="shared" si="25"/>
        <v>11.305</v>
      </c>
      <c r="S409" s="5">
        <f t="shared" si="26"/>
        <v>8.3249999999999993</v>
      </c>
      <c r="T409" s="23">
        <f>('Investor-Inputs'!$G$19 * Q409) + ('Investor-Inputs'!$J$19 * R409) + ('Investor-Inputs'!$N$19 * S409)</f>
        <v>74.672000000000011</v>
      </c>
      <c r="U409" s="27">
        <f t="shared" si="27"/>
        <v>164</v>
      </c>
    </row>
    <row r="410" spans="3:21" x14ac:dyDescent="0.25">
      <c r="C410" s="2" t="s">
        <v>138</v>
      </c>
      <c r="D410" s="2">
        <v>4</v>
      </c>
      <c r="E410" s="2" t="s">
        <v>14</v>
      </c>
      <c r="F410" s="2" t="s">
        <v>132</v>
      </c>
      <c r="G410" s="3">
        <v>4.49</v>
      </c>
      <c r="H410" s="3">
        <v>-1.56</v>
      </c>
      <c r="I410" s="3">
        <v>17.850000000000001</v>
      </c>
      <c r="J410" s="3">
        <v>7.12</v>
      </c>
      <c r="K410" s="3">
        <v>15.37</v>
      </c>
      <c r="L410" s="21">
        <v>12.17</v>
      </c>
      <c r="M410" s="3">
        <v>2.58</v>
      </c>
      <c r="N410" s="2" t="s">
        <v>16</v>
      </c>
      <c r="O410" s="4" t="s">
        <v>17</v>
      </c>
      <c r="P410" s="18" t="s">
        <v>350</v>
      </c>
      <c r="Q410" s="5">
        <f t="shared" si="24"/>
        <v>14.824999999999999</v>
      </c>
      <c r="R410" s="5">
        <f t="shared" si="25"/>
        <v>9.6449999999999996</v>
      </c>
      <c r="S410" s="5">
        <f t="shared" si="26"/>
        <v>8.9749999999999996</v>
      </c>
      <c r="T410" s="23">
        <f>('Investor-Inputs'!$G$19 * Q410) + ('Investor-Inputs'!$J$19 * R410) + ('Investor-Inputs'!$N$19 * S410)</f>
        <v>72.739999999999995</v>
      </c>
      <c r="U410" s="27">
        <f t="shared" si="27"/>
        <v>180</v>
      </c>
    </row>
    <row r="411" spans="3:21" x14ac:dyDescent="0.25">
      <c r="C411" s="2" t="s">
        <v>139</v>
      </c>
      <c r="D411" s="2">
        <v>5</v>
      </c>
      <c r="E411" s="2" t="s">
        <v>14</v>
      </c>
      <c r="F411" s="2" t="s">
        <v>132</v>
      </c>
      <c r="G411" s="3">
        <v>15.5</v>
      </c>
      <c r="H411" s="3">
        <v>13.38</v>
      </c>
      <c r="I411" s="3">
        <v>24.83</v>
      </c>
      <c r="J411" s="3">
        <v>15.29</v>
      </c>
      <c r="K411" s="3">
        <v>19.41</v>
      </c>
      <c r="L411" s="21">
        <v>18.43</v>
      </c>
      <c r="M411" s="3">
        <v>1.99</v>
      </c>
      <c r="N411" s="2" t="s">
        <v>16</v>
      </c>
      <c r="O411" s="4" t="s">
        <v>28</v>
      </c>
      <c r="P411" s="18" t="s">
        <v>350</v>
      </c>
      <c r="Q411" s="5">
        <f t="shared" si="24"/>
        <v>19.637</v>
      </c>
      <c r="R411" s="5">
        <f t="shared" si="25"/>
        <v>16.86</v>
      </c>
      <c r="S411" s="5">
        <f t="shared" si="26"/>
        <v>10.7</v>
      </c>
      <c r="T411" s="23">
        <f>('Investor-Inputs'!$G$19 * Q411) + ('Investor-Inputs'!$J$19 * R411) + ('Investor-Inputs'!$N$19 * S411)</f>
        <v>103.331</v>
      </c>
      <c r="U411" s="27">
        <f t="shared" si="27"/>
        <v>43</v>
      </c>
    </row>
    <row r="412" spans="3:21" x14ac:dyDescent="0.25">
      <c r="C412" s="2" t="s">
        <v>140</v>
      </c>
      <c r="D412" s="2">
        <v>4</v>
      </c>
      <c r="E412" s="2" t="s">
        <v>14</v>
      </c>
      <c r="F412" s="2" t="s">
        <v>132</v>
      </c>
      <c r="G412" s="3">
        <v>5.57</v>
      </c>
      <c r="H412" s="3">
        <v>1.93</v>
      </c>
      <c r="I412" s="3">
        <v>17.239999999999998</v>
      </c>
      <c r="J412" s="3">
        <v>8.76</v>
      </c>
      <c r="K412" s="3">
        <v>15.46</v>
      </c>
      <c r="L412" s="21">
        <v>12.52</v>
      </c>
      <c r="M412" s="3">
        <v>1.88</v>
      </c>
      <c r="N412" s="2" t="s">
        <v>16</v>
      </c>
      <c r="O412" s="4" t="s">
        <v>17</v>
      </c>
      <c r="P412" s="18" t="s">
        <v>350</v>
      </c>
      <c r="Q412" s="5">
        <f t="shared" si="24"/>
        <v>14.626000000000001</v>
      </c>
      <c r="R412" s="5">
        <f t="shared" si="25"/>
        <v>10.64</v>
      </c>
      <c r="S412" s="5">
        <f t="shared" si="26"/>
        <v>8.67</v>
      </c>
      <c r="T412" s="23">
        <f>('Investor-Inputs'!$G$19 * Q412) + ('Investor-Inputs'!$J$19 * R412) + ('Investor-Inputs'!$N$19 * S412)</f>
        <v>73.828000000000003</v>
      </c>
      <c r="U412" s="27">
        <f t="shared" si="27"/>
        <v>170</v>
      </c>
    </row>
    <row r="413" spans="3:21" x14ac:dyDescent="0.25">
      <c r="C413" s="2" t="s">
        <v>141</v>
      </c>
      <c r="D413" s="2">
        <v>5</v>
      </c>
      <c r="E413" s="2" t="s">
        <v>14</v>
      </c>
      <c r="F413" s="2" t="s">
        <v>132</v>
      </c>
      <c r="G413" s="3">
        <v>-3.56</v>
      </c>
      <c r="H413" s="3">
        <v>-9.66</v>
      </c>
      <c r="I413" s="3">
        <v>12.72</v>
      </c>
      <c r="J413" s="3">
        <v>4.3</v>
      </c>
      <c r="K413" s="3">
        <v>14.65</v>
      </c>
      <c r="L413" s="21">
        <v>9.91</v>
      </c>
      <c r="M413" s="3">
        <v>1.79</v>
      </c>
      <c r="N413" s="2" t="s">
        <v>16</v>
      </c>
      <c r="O413" s="4" t="s">
        <v>24</v>
      </c>
      <c r="P413" s="18" t="s">
        <v>350</v>
      </c>
      <c r="Q413" s="5">
        <f t="shared" si="24"/>
        <v>12.413</v>
      </c>
      <c r="R413" s="5">
        <f t="shared" si="25"/>
        <v>7.1050000000000004</v>
      </c>
      <c r="S413" s="5">
        <f t="shared" si="26"/>
        <v>8.2200000000000006</v>
      </c>
      <c r="T413" s="23">
        <f>('Investor-Inputs'!$G$19 * Q413) + ('Investor-Inputs'!$J$19 * R413) + ('Investor-Inputs'!$N$19 * S413)</f>
        <v>59.669000000000004</v>
      </c>
      <c r="U413" s="27">
        <f t="shared" si="27"/>
        <v>242</v>
      </c>
    </row>
    <row r="414" spans="3:21" x14ac:dyDescent="0.25">
      <c r="C414" s="2" t="s">
        <v>142</v>
      </c>
      <c r="D414" s="2">
        <v>4</v>
      </c>
      <c r="E414" s="2" t="s">
        <v>14</v>
      </c>
      <c r="F414" s="2" t="s">
        <v>132</v>
      </c>
      <c r="G414" s="3">
        <v>-3.15</v>
      </c>
      <c r="H414" s="3">
        <v>-8.5399999999999991</v>
      </c>
      <c r="I414" s="3">
        <v>14.05</v>
      </c>
      <c r="J414" s="3">
        <v>4.1100000000000003</v>
      </c>
      <c r="K414" s="3">
        <v>12.16</v>
      </c>
      <c r="L414" s="21">
        <v>9.3000000000000007</v>
      </c>
      <c r="M414" s="3">
        <v>2.1</v>
      </c>
      <c r="N414" s="2" t="s">
        <v>16</v>
      </c>
      <c r="O414" s="4" t="s">
        <v>24</v>
      </c>
      <c r="P414" s="18" t="s">
        <v>350</v>
      </c>
      <c r="Q414" s="5">
        <f t="shared" si="24"/>
        <v>11.700000000000001</v>
      </c>
      <c r="R414" s="5">
        <f t="shared" si="25"/>
        <v>6.7050000000000001</v>
      </c>
      <c r="S414" s="5">
        <f t="shared" si="26"/>
        <v>7.13</v>
      </c>
      <c r="T414" s="23">
        <f>('Investor-Inputs'!$G$19 * Q414) + ('Investor-Inputs'!$J$19 * R414) + ('Investor-Inputs'!$N$19 * S414)</f>
        <v>55.640000000000008</v>
      </c>
      <c r="U414" s="27">
        <f t="shared" si="27"/>
        <v>260</v>
      </c>
    </row>
    <row r="415" spans="3:21" x14ac:dyDescent="0.25">
      <c r="C415" s="2" t="s">
        <v>143</v>
      </c>
      <c r="D415" s="2">
        <v>5</v>
      </c>
      <c r="E415" s="2" t="s">
        <v>14</v>
      </c>
      <c r="F415" s="2" t="s">
        <v>132</v>
      </c>
      <c r="G415" s="3">
        <v>2.2000000000000002</v>
      </c>
      <c r="H415" s="3">
        <v>-2.81</v>
      </c>
      <c r="I415" s="3">
        <v>20.64</v>
      </c>
      <c r="J415" s="3">
        <v>8.86</v>
      </c>
      <c r="K415" s="3"/>
      <c r="L415" s="21"/>
      <c r="M415" s="3">
        <v>1.62</v>
      </c>
      <c r="N415" s="2" t="s">
        <v>16</v>
      </c>
      <c r="O415" s="4" t="s">
        <v>28</v>
      </c>
      <c r="P415" s="18" t="s">
        <v>350</v>
      </c>
      <c r="Q415" s="5">
        <f t="shared" si="24"/>
        <v>8.2560000000000002</v>
      </c>
      <c r="R415" s="5">
        <f t="shared" si="25"/>
        <v>4.43</v>
      </c>
      <c r="S415" s="5">
        <f t="shared" si="26"/>
        <v>0.81</v>
      </c>
      <c r="T415" s="23">
        <f>('Investor-Inputs'!$G$19 * Q415) + ('Investor-Inputs'!$J$19 * R415) + ('Investor-Inputs'!$N$19 * S415)</f>
        <v>34.438000000000002</v>
      </c>
      <c r="U415" s="27">
        <f t="shared" si="27"/>
        <v>411</v>
      </c>
    </row>
    <row r="416" spans="3:21" x14ac:dyDescent="0.25">
      <c r="C416" s="2" t="s">
        <v>144</v>
      </c>
      <c r="D416" s="2">
        <v>5</v>
      </c>
      <c r="E416" s="2" t="s">
        <v>14</v>
      </c>
      <c r="F416" s="2" t="s">
        <v>132</v>
      </c>
      <c r="G416" s="3">
        <v>2.7</v>
      </c>
      <c r="H416" s="3">
        <v>-3.52</v>
      </c>
      <c r="I416" s="3">
        <v>18.48</v>
      </c>
      <c r="J416" s="3">
        <v>8.5500000000000007</v>
      </c>
      <c r="K416" s="2"/>
      <c r="L416" s="20"/>
      <c r="M416" s="3">
        <v>2.66</v>
      </c>
      <c r="N416" s="2" t="s">
        <v>16</v>
      </c>
      <c r="O416" s="4" t="s">
        <v>28</v>
      </c>
      <c r="P416" s="18" t="s">
        <v>350</v>
      </c>
      <c r="Q416" s="5">
        <f t="shared" si="24"/>
        <v>7.3920000000000003</v>
      </c>
      <c r="R416" s="5">
        <f t="shared" si="25"/>
        <v>4.2750000000000004</v>
      </c>
      <c r="S416" s="5">
        <f t="shared" si="26"/>
        <v>1.33</v>
      </c>
      <c r="T416" s="23">
        <f>('Investor-Inputs'!$G$19 * Q416) + ('Investor-Inputs'!$J$19 * R416) + ('Investor-Inputs'!$N$19 * S416)</f>
        <v>32.056000000000004</v>
      </c>
      <c r="U416" s="27">
        <f t="shared" si="27"/>
        <v>502</v>
      </c>
    </row>
    <row r="417" spans="3:21" x14ac:dyDescent="0.25">
      <c r="C417" s="2" t="s">
        <v>145</v>
      </c>
      <c r="D417" s="2">
        <v>5</v>
      </c>
      <c r="E417" s="2" t="s">
        <v>14</v>
      </c>
      <c r="F417" s="2" t="s">
        <v>146</v>
      </c>
      <c r="G417" s="3">
        <v>8.19</v>
      </c>
      <c r="H417" s="3">
        <v>2.93</v>
      </c>
      <c r="I417" s="3">
        <v>19.11</v>
      </c>
      <c r="J417" s="3">
        <v>12.64</v>
      </c>
      <c r="K417" s="3">
        <v>15.98</v>
      </c>
      <c r="L417" s="21">
        <v>15.19</v>
      </c>
      <c r="M417" s="3">
        <v>2.0699999999999998</v>
      </c>
      <c r="N417" s="2" t="s">
        <v>16</v>
      </c>
      <c r="O417" s="4" t="s">
        <v>28</v>
      </c>
      <c r="P417" s="18" t="s">
        <v>350</v>
      </c>
      <c r="Q417" s="5">
        <f t="shared" si="24"/>
        <v>15.634</v>
      </c>
      <c r="R417" s="5">
        <f t="shared" si="25"/>
        <v>13.914999999999999</v>
      </c>
      <c r="S417" s="5">
        <f t="shared" si="26"/>
        <v>9.0250000000000004</v>
      </c>
      <c r="T417" s="23">
        <f>('Investor-Inputs'!$G$19 * Q417) + ('Investor-Inputs'!$J$19 * R417) + ('Investor-Inputs'!$N$19 * S417)</f>
        <v>83.757000000000005</v>
      </c>
      <c r="U417" s="27">
        <f t="shared" si="27"/>
        <v>114</v>
      </c>
    </row>
    <row r="418" spans="3:21" x14ac:dyDescent="0.25">
      <c r="C418" s="2" t="s">
        <v>147</v>
      </c>
      <c r="D418" s="2">
        <v>4</v>
      </c>
      <c r="E418" s="2" t="s">
        <v>14</v>
      </c>
      <c r="F418" s="2" t="s">
        <v>146</v>
      </c>
      <c r="G418" s="3">
        <v>7.33</v>
      </c>
      <c r="H418" s="3">
        <v>-1.24</v>
      </c>
      <c r="I418" s="3">
        <v>19.38</v>
      </c>
      <c r="J418" s="3">
        <v>10.02</v>
      </c>
      <c r="K418" s="2"/>
      <c r="L418" s="20"/>
      <c r="M418" s="3">
        <v>1.31</v>
      </c>
      <c r="N418" s="2" t="s">
        <v>16</v>
      </c>
      <c r="O418" s="4" t="s">
        <v>28</v>
      </c>
      <c r="P418" s="18" t="s">
        <v>350</v>
      </c>
      <c r="Q418" s="5">
        <f t="shared" si="24"/>
        <v>7.7519999999999998</v>
      </c>
      <c r="R418" s="5">
        <f t="shared" si="25"/>
        <v>5.01</v>
      </c>
      <c r="S418" s="5">
        <f t="shared" si="26"/>
        <v>0.65500000000000003</v>
      </c>
      <c r="T418" s="23">
        <f>('Investor-Inputs'!$G$19 * Q418) + ('Investor-Inputs'!$J$19 * R418) + ('Investor-Inputs'!$N$19 * S418)</f>
        <v>33.930999999999997</v>
      </c>
      <c r="U418" s="27">
        <f t="shared" si="27"/>
        <v>434</v>
      </c>
    </row>
    <row r="419" spans="3:21" x14ac:dyDescent="0.25">
      <c r="C419" s="2" t="s">
        <v>148</v>
      </c>
      <c r="D419" s="2">
        <v>4</v>
      </c>
      <c r="E419" s="2" t="s">
        <v>14</v>
      </c>
      <c r="F419" s="2" t="s">
        <v>146</v>
      </c>
      <c r="G419" s="3">
        <v>2.0499999999999998</v>
      </c>
      <c r="H419" s="3">
        <v>-2.4700000000000002</v>
      </c>
      <c r="I419" s="3">
        <v>15.47</v>
      </c>
      <c r="J419" s="3">
        <v>8.75</v>
      </c>
      <c r="K419" s="3">
        <v>16.440000000000001</v>
      </c>
      <c r="L419" s="21">
        <v>12.83</v>
      </c>
      <c r="M419" s="3">
        <v>1.79</v>
      </c>
      <c r="N419" s="2" t="s">
        <v>16</v>
      </c>
      <c r="O419" s="4" t="s">
        <v>17</v>
      </c>
      <c r="P419" s="18" t="s">
        <v>350</v>
      </c>
      <c r="Q419" s="5">
        <f t="shared" si="24"/>
        <v>14.408000000000001</v>
      </c>
      <c r="R419" s="5">
        <f t="shared" si="25"/>
        <v>10.79</v>
      </c>
      <c r="S419" s="5">
        <f t="shared" si="26"/>
        <v>9.1150000000000002</v>
      </c>
      <c r="T419" s="23">
        <f>('Investor-Inputs'!$G$19 * Q419) + ('Investor-Inputs'!$J$19 * R419) + ('Investor-Inputs'!$N$19 * S419)</f>
        <v>73.918999999999997</v>
      </c>
      <c r="U419" s="27">
        <f t="shared" si="27"/>
        <v>168</v>
      </c>
    </row>
    <row r="420" spans="3:21" x14ac:dyDescent="0.25">
      <c r="C420" s="2" t="s">
        <v>149</v>
      </c>
      <c r="D420" s="2">
        <v>4</v>
      </c>
      <c r="E420" s="2" t="s">
        <v>14</v>
      </c>
      <c r="F420" s="2" t="s">
        <v>146</v>
      </c>
      <c r="G420" s="3">
        <v>5.93</v>
      </c>
      <c r="H420" s="3">
        <v>-1.51</v>
      </c>
      <c r="I420" s="3">
        <v>17.559999999999999</v>
      </c>
      <c r="J420" s="3">
        <v>11.94</v>
      </c>
      <c r="K420" s="3">
        <v>14.01</v>
      </c>
      <c r="L420" s="21">
        <v>13.86</v>
      </c>
      <c r="M420" s="3">
        <v>2.02</v>
      </c>
      <c r="N420" s="2" t="s">
        <v>16</v>
      </c>
      <c r="O420" s="4" t="s">
        <v>17</v>
      </c>
      <c r="P420" s="18" t="s">
        <v>350</v>
      </c>
      <c r="Q420" s="5">
        <f t="shared" si="24"/>
        <v>14.029</v>
      </c>
      <c r="R420" s="5">
        <f t="shared" si="25"/>
        <v>12.899999999999999</v>
      </c>
      <c r="S420" s="5">
        <f t="shared" si="26"/>
        <v>8.0150000000000006</v>
      </c>
      <c r="T420" s="23">
        <f>('Investor-Inputs'!$G$19 * Q420) + ('Investor-Inputs'!$J$19 * R420) + ('Investor-Inputs'!$N$19 * S420)</f>
        <v>75.902000000000001</v>
      </c>
      <c r="U420" s="27">
        <f t="shared" si="27"/>
        <v>154</v>
      </c>
    </row>
    <row r="421" spans="3:21" x14ac:dyDescent="0.25">
      <c r="C421" s="2" t="s">
        <v>150</v>
      </c>
      <c r="D421" s="2">
        <v>4</v>
      </c>
      <c r="E421" s="2" t="s">
        <v>14</v>
      </c>
      <c r="F421" s="2" t="s">
        <v>146</v>
      </c>
      <c r="G421" s="3">
        <v>2.25</v>
      </c>
      <c r="H421" s="3">
        <v>-0.5</v>
      </c>
      <c r="I421" s="3">
        <v>15.66</v>
      </c>
      <c r="J421" s="3">
        <v>8.2799999999999994</v>
      </c>
      <c r="K421" s="3">
        <v>14.74</v>
      </c>
      <c r="L421" s="21">
        <v>12.85</v>
      </c>
      <c r="M421" s="3">
        <v>2.08</v>
      </c>
      <c r="N421" s="2" t="s">
        <v>16</v>
      </c>
      <c r="O421" s="4" t="s">
        <v>17</v>
      </c>
      <c r="P421" s="18" t="s">
        <v>350</v>
      </c>
      <c r="Q421" s="5">
        <f t="shared" si="24"/>
        <v>13.634</v>
      </c>
      <c r="R421" s="5">
        <f t="shared" si="25"/>
        <v>10.565</v>
      </c>
      <c r="S421" s="5">
        <f t="shared" si="26"/>
        <v>8.41</v>
      </c>
      <c r="T421" s="23">
        <f>('Investor-Inputs'!$G$19 * Q421) + ('Investor-Inputs'!$J$19 * R421) + ('Investor-Inputs'!$N$19 * S421)</f>
        <v>70.441999999999993</v>
      </c>
      <c r="U421" s="27">
        <f t="shared" si="27"/>
        <v>190</v>
      </c>
    </row>
    <row r="422" spans="3:21" x14ac:dyDescent="0.25">
      <c r="C422" s="2" t="s">
        <v>151</v>
      </c>
      <c r="D422" s="2">
        <v>5</v>
      </c>
      <c r="E422" s="2" t="s">
        <v>14</v>
      </c>
      <c r="F422" s="2" t="s">
        <v>152</v>
      </c>
      <c r="G422" s="3">
        <v>7.1</v>
      </c>
      <c r="H422" s="3">
        <v>5.38</v>
      </c>
      <c r="I422" s="3">
        <v>27.02</v>
      </c>
      <c r="J422" s="3">
        <v>15.8</v>
      </c>
      <c r="K422" s="3">
        <v>16.23</v>
      </c>
      <c r="L422" s="21">
        <v>18.239999999999998</v>
      </c>
      <c r="M422" s="3">
        <v>2.08</v>
      </c>
      <c r="N422" s="2" t="s">
        <v>16</v>
      </c>
      <c r="O422" s="4" t="s">
        <v>28</v>
      </c>
      <c r="P422" s="18" t="s">
        <v>350</v>
      </c>
      <c r="Q422" s="5">
        <f t="shared" si="24"/>
        <v>18.923000000000002</v>
      </c>
      <c r="R422" s="5">
        <f t="shared" si="25"/>
        <v>17.02</v>
      </c>
      <c r="S422" s="5">
        <f t="shared" si="26"/>
        <v>9.1550000000000011</v>
      </c>
      <c r="T422" s="23">
        <f>('Investor-Inputs'!$G$19 * Q422) + ('Investor-Inputs'!$J$19 * R422) + ('Investor-Inputs'!$N$19 * S422)</f>
        <v>99.963999999999999</v>
      </c>
      <c r="U422" s="27">
        <f t="shared" si="27"/>
        <v>51</v>
      </c>
    </row>
    <row r="423" spans="3:21" x14ac:dyDescent="0.25">
      <c r="C423" s="2" t="s">
        <v>153</v>
      </c>
      <c r="D423" s="2">
        <v>4</v>
      </c>
      <c r="E423" s="2" t="s">
        <v>14</v>
      </c>
      <c r="F423" s="2" t="s">
        <v>152</v>
      </c>
      <c r="G423" s="3">
        <v>4.5599999999999996</v>
      </c>
      <c r="H423" s="3">
        <v>6.72</v>
      </c>
      <c r="I423" s="3">
        <v>24.83</v>
      </c>
      <c r="J423" s="3">
        <v>14.42</v>
      </c>
      <c r="K423" s="3">
        <v>15.56</v>
      </c>
      <c r="L423" s="21">
        <v>17.309999999999999</v>
      </c>
      <c r="M423" s="3">
        <v>1.9</v>
      </c>
      <c r="N423" s="2" t="s">
        <v>16</v>
      </c>
      <c r="O423" s="4" t="s">
        <v>17</v>
      </c>
      <c r="P423" s="18" t="s">
        <v>350</v>
      </c>
      <c r="Q423" s="5">
        <f t="shared" si="24"/>
        <v>17.712</v>
      </c>
      <c r="R423" s="5">
        <f t="shared" si="25"/>
        <v>15.864999999999998</v>
      </c>
      <c r="S423" s="5">
        <f t="shared" si="26"/>
        <v>8.73</v>
      </c>
      <c r="T423" s="23">
        <f>('Investor-Inputs'!$G$19 * Q423) + ('Investor-Inputs'!$J$19 * R423) + ('Investor-Inputs'!$N$19 * S423)</f>
        <v>93.595999999999989</v>
      </c>
      <c r="U423" s="27">
        <f t="shared" si="27"/>
        <v>67</v>
      </c>
    </row>
    <row r="424" spans="3:21" x14ac:dyDescent="0.25">
      <c r="C424" s="2" t="s">
        <v>154</v>
      </c>
      <c r="D424" s="2">
        <v>4</v>
      </c>
      <c r="E424" s="2" t="s">
        <v>14</v>
      </c>
      <c r="F424" s="2" t="s">
        <v>152</v>
      </c>
      <c r="G424" s="3">
        <v>8.33</v>
      </c>
      <c r="H424" s="3">
        <v>6.92</v>
      </c>
      <c r="I424" s="3">
        <v>24.87</v>
      </c>
      <c r="J424" s="3">
        <v>14.86</v>
      </c>
      <c r="K424" s="3">
        <v>13.99</v>
      </c>
      <c r="L424" s="21">
        <v>16.38</v>
      </c>
      <c r="M424" s="3">
        <v>2.2999999999999998</v>
      </c>
      <c r="N424" s="2" t="s">
        <v>16</v>
      </c>
      <c r="O424" s="4" t="s">
        <v>24</v>
      </c>
      <c r="P424" s="18" t="s">
        <v>350</v>
      </c>
      <c r="Q424" s="5">
        <f t="shared" si="24"/>
        <v>16.943000000000001</v>
      </c>
      <c r="R424" s="5">
        <f t="shared" si="25"/>
        <v>15.62</v>
      </c>
      <c r="S424" s="5">
        <f t="shared" si="26"/>
        <v>8.1449999999999996</v>
      </c>
      <c r="T424" s="23">
        <f>('Investor-Inputs'!$G$19 * Q424) + ('Investor-Inputs'!$J$19 * R424) + ('Investor-Inputs'!$N$19 * S424)</f>
        <v>90.213999999999999</v>
      </c>
      <c r="U424" s="27">
        <f t="shared" si="27"/>
        <v>81</v>
      </c>
    </row>
    <row r="425" spans="3:21" x14ac:dyDescent="0.25">
      <c r="C425" s="2" t="s">
        <v>155</v>
      </c>
      <c r="D425" s="2">
        <v>4</v>
      </c>
      <c r="E425" s="2" t="s">
        <v>14</v>
      </c>
      <c r="F425" s="2" t="s">
        <v>156</v>
      </c>
      <c r="G425" s="3">
        <v>-3.31</v>
      </c>
      <c r="H425" s="3">
        <v>-7.98</v>
      </c>
      <c r="I425" s="3">
        <v>13.23</v>
      </c>
      <c r="J425" s="3">
        <v>3.2</v>
      </c>
      <c r="K425" s="3">
        <v>12.93</v>
      </c>
      <c r="L425" s="21">
        <v>8.77</v>
      </c>
      <c r="M425" s="3">
        <v>2.16</v>
      </c>
      <c r="N425" s="2" t="s">
        <v>16</v>
      </c>
      <c r="O425" s="4" t="s">
        <v>24</v>
      </c>
      <c r="P425" s="18" t="s">
        <v>350</v>
      </c>
      <c r="Q425" s="5">
        <f t="shared" si="24"/>
        <v>11.757000000000001</v>
      </c>
      <c r="R425" s="5">
        <f t="shared" si="25"/>
        <v>5.9849999999999994</v>
      </c>
      <c r="S425" s="5">
        <f t="shared" si="26"/>
        <v>7.5449999999999999</v>
      </c>
      <c r="T425" s="23">
        <f>('Investor-Inputs'!$G$19 * Q425) + ('Investor-Inputs'!$J$19 * R425) + ('Investor-Inputs'!$N$19 * S425)</f>
        <v>54.786000000000001</v>
      </c>
      <c r="U425" s="27">
        <f t="shared" si="27"/>
        <v>269</v>
      </c>
    </row>
    <row r="426" spans="3:21" x14ac:dyDescent="0.25">
      <c r="C426" s="2" t="s">
        <v>157</v>
      </c>
      <c r="D426" s="2">
        <v>5</v>
      </c>
      <c r="E426" s="2" t="s">
        <v>14</v>
      </c>
      <c r="F426" s="2" t="s">
        <v>156</v>
      </c>
      <c r="G426" s="3">
        <v>-0.17</v>
      </c>
      <c r="H426" s="3">
        <v>-5.69</v>
      </c>
      <c r="I426" s="3">
        <v>14</v>
      </c>
      <c r="J426" s="3">
        <v>4.08</v>
      </c>
      <c r="K426" s="3">
        <v>14.95</v>
      </c>
      <c r="L426" s="21">
        <v>10.32</v>
      </c>
      <c r="M426" s="3">
        <v>2.25</v>
      </c>
      <c r="N426" s="2" t="s">
        <v>16</v>
      </c>
      <c r="O426" s="4" t="s">
        <v>17</v>
      </c>
      <c r="P426" s="18" t="s">
        <v>350</v>
      </c>
      <c r="Q426" s="5">
        <f t="shared" si="24"/>
        <v>13.074999999999999</v>
      </c>
      <c r="R426" s="5">
        <f t="shared" si="25"/>
        <v>7.2</v>
      </c>
      <c r="S426" s="5">
        <f t="shared" si="26"/>
        <v>8.6</v>
      </c>
      <c r="T426" s="23">
        <f>('Investor-Inputs'!$G$19 * Q426) + ('Investor-Inputs'!$J$19 * R426) + ('Investor-Inputs'!$N$19 * S426)</f>
        <v>62.224999999999994</v>
      </c>
      <c r="U426" s="27">
        <f t="shared" si="27"/>
        <v>224</v>
      </c>
    </row>
    <row r="427" spans="3:21" x14ac:dyDescent="0.25">
      <c r="C427" s="2" t="s">
        <v>158</v>
      </c>
      <c r="D427" s="2">
        <v>4</v>
      </c>
      <c r="E427" s="2" t="s">
        <v>14</v>
      </c>
      <c r="F427" s="2" t="s">
        <v>156</v>
      </c>
      <c r="G427" s="3">
        <v>-0.06</v>
      </c>
      <c r="H427" s="3">
        <v>-6.54</v>
      </c>
      <c r="I427" s="3">
        <v>13.8</v>
      </c>
      <c r="J427" s="3">
        <v>3.92</v>
      </c>
      <c r="K427" s="3">
        <v>14.55</v>
      </c>
      <c r="L427" s="21">
        <v>9.9600000000000009</v>
      </c>
      <c r="M427" s="3">
        <v>1.91</v>
      </c>
      <c r="N427" s="2" t="s">
        <v>16</v>
      </c>
      <c r="O427" s="4" t="s">
        <v>17</v>
      </c>
      <c r="P427" s="18" t="s">
        <v>350</v>
      </c>
      <c r="Q427" s="5">
        <f t="shared" si="24"/>
        <v>12.795000000000002</v>
      </c>
      <c r="R427" s="5">
        <f t="shared" si="25"/>
        <v>6.94</v>
      </c>
      <c r="S427" s="5">
        <f t="shared" si="26"/>
        <v>8.23</v>
      </c>
      <c r="T427" s="23">
        <f>('Investor-Inputs'!$G$19 * Q427) + ('Investor-Inputs'!$J$19 * R427) + ('Investor-Inputs'!$N$19 * S427)</f>
        <v>60.495000000000005</v>
      </c>
      <c r="U427" s="27">
        <f t="shared" si="27"/>
        <v>238</v>
      </c>
    </row>
    <row r="428" spans="3:21" x14ac:dyDescent="0.25">
      <c r="C428" s="2" t="s">
        <v>159</v>
      </c>
      <c r="D428" s="2">
        <v>4</v>
      </c>
      <c r="E428" s="2" t="s">
        <v>14</v>
      </c>
      <c r="F428" s="2" t="s">
        <v>156</v>
      </c>
      <c r="G428" s="3">
        <v>-4.71</v>
      </c>
      <c r="H428" s="3">
        <v>-8.57</v>
      </c>
      <c r="I428" s="3">
        <v>13.47</v>
      </c>
      <c r="J428" s="3">
        <v>2.91</v>
      </c>
      <c r="K428" s="3">
        <v>15.63</v>
      </c>
      <c r="L428" s="21">
        <v>9.64</v>
      </c>
      <c r="M428" s="3">
        <v>1.98</v>
      </c>
      <c r="N428" s="2" t="s">
        <v>16</v>
      </c>
      <c r="O428" s="4" t="s">
        <v>17</v>
      </c>
      <c r="P428" s="18" t="s">
        <v>350</v>
      </c>
      <c r="Q428" s="5">
        <f t="shared" si="24"/>
        <v>13.203000000000001</v>
      </c>
      <c r="R428" s="5">
        <f t="shared" si="25"/>
        <v>6.2750000000000004</v>
      </c>
      <c r="S428" s="5">
        <f t="shared" si="26"/>
        <v>8.8049999999999997</v>
      </c>
      <c r="T428" s="23">
        <f>('Investor-Inputs'!$G$19 * Q428) + ('Investor-Inputs'!$J$19 * R428) + ('Investor-Inputs'!$N$19 * S428)</f>
        <v>60.964000000000006</v>
      </c>
      <c r="U428" s="27">
        <f t="shared" si="27"/>
        <v>234</v>
      </c>
    </row>
    <row r="429" spans="3:21" x14ac:dyDescent="0.25">
      <c r="C429" s="2" t="s">
        <v>160</v>
      </c>
      <c r="D429" s="2">
        <v>4</v>
      </c>
      <c r="E429" s="2" t="s">
        <v>14</v>
      </c>
      <c r="F429" s="2" t="s">
        <v>156</v>
      </c>
      <c r="G429" s="3">
        <v>4.07</v>
      </c>
      <c r="H429" s="3">
        <v>1.1499999999999999</v>
      </c>
      <c r="I429" s="3">
        <v>17.14</v>
      </c>
      <c r="J429" s="3">
        <v>7.67</v>
      </c>
      <c r="K429" s="3">
        <v>15.35</v>
      </c>
      <c r="L429" s="21">
        <v>12.16</v>
      </c>
      <c r="M429" s="3">
        <v>2.0099999999999998</v>
      </c>
      <c r="N429" s="2" t="s">
        <v>16</v>
      </c>
      <c r="O429" s="4" t="s">
        <v>28</v>
      </c>
      <c r="P429" s="18" t="s">
        <v>350</v>
      </c>
      <c r="Q429" s="5">
        <f t="shared" si="24"/>
        <v>14.531000000000001</v>
      </c>
      <c r="R429" s="5">
        <f t="shared" si="25"/>
        <v>9.9149999999999991</v>
      </c>
      <c r="S429" s="5">
        <f t="shared" si="26"/>
        <v>8.68</v>
      </c>
      <c r="T429" s="23">
        <f>('Investor-Inputs'!$G$19 * Q429) + ('Investor-Inputs'!$J$19 * R429) + ('Investor-Inputs'!$N$19 * S429)</f>
        <v>72.103000000000009</v>
      </c>
      <c r="U429" s="27">
        <f t="shared" si="27"/>
        <v>184</v>
      </c>
    </row>
    <row r="430" spans="3:21" x14ac:dyDescent="0.25">
      <c r="C430" s="2" t="s">
        <v>161</v>
      </c>
      <c r="D430" s="2">
        <v>4</v>
      </c>
      <c r="E430" s="2" t="s">
        <v>14</v>
      </c>
      <c r="F430" s="2" t="s">
        <v>162</v>
      </c>
      <c r="G430" s="3">
        <v>23.44</v>
      </c>
      <c r="H430" s="3">
        <v>20.97</v>
      </c>
      <c r="I430" s="3">
        <v>25.7</v>
      </c>
      <c r="J430" s="3">
        <v>17.38</v>
      </c>
      <c r="K430" s="3">
        <v>22.68</v>
      </c>
      <c r="L430" s="21">
        <v>20.72</v>
      </c>
      <c r="M430" s="3">
        <v>2.39</v>
      </c>
      <c r="N430" s="2" t="s">
        <v>16</v>
      </c>
      <c r="O430" s="4" t="s">
        <v>24</v>
      </c>
      <c r="P430" s="18" t="s">
        <v>350</v>
      </c>
      <c r="Q430" s="5">
        <f t="shared" si="24"/>
        <v>21.62</v>
      </c>
      <c r="R430" s="5">
        <f t="shared" si="25"/>
        <v>19.049999999999997</v>
      </c>
      <c r="S430" s="5">
        <f t="shared" si="26"/>
        <v>12.535</v>
      </c>
      <c r="T430" s="23">
        <f>('Investor-Inputs'!$G$19 * Q430) + ('Investor-Inputs'!$J$19 * R430) + ('Investor-Inputs'!$N$19 * S430)</f>
        <v>115.49499999999999</v>
      </c>
      <c r="U430" s="27">
        <f t="shared" si="27"/>
        <v>21</v>
      </c>
    </row>
    <row r="431" spans="3:21" x14ac:dyDescent="0.25">
      <c r="C431" s="2" t="s">
        <v>163</v>
      </c>
      <c r="D431" s="2">
        <v>4</v>
      </c>
      <c r="E431" s="2" t="s">
        <v>14</v>
      </c>
      <c r="F431" s="2" t="s">
        <v>162</v>
      </c>
      <c r="G431" s="3">
        <v>16.11</v>
      </c>
      <c r="H431" s="3">
        <v>15.05</v>
      </c>
      <c r="I431" s="3">
        <v>26.29</v>
      </c>
      <c r="J431" s="3">
        <v>16.829999999999998</v>
      </c>
      <c r="K431" s="3">
        <v>24.72</v>
      </c>
      <c r="L431" s="21">
        <v>21.12</v>
      </c>
      <c r="M431" s="3">
        <v>2.25</v>
      </c>
      <c r="N431" s="2" t="s">
        <v>16</v>
      </c>
      <c r="O431" s="4" t="s">
        <v>17</v>
      </c>
      <c r="P431" s="18" t="s">
        <v>350</v>
      </c>
      <c r="Q431" s="5">
        <f t="shared" si="24"/>
        <v>22.875999999999998</v>
      </c>
      <c r="R431" s="5">
        <f t="shared" si="25"/>
        <v>18.975000000000001</v>
      </c>
      <c r="S431" s="5">
        <f t="shared" si="26"/>
        <v>13.484999999999999</v>
      </c>
      <c r="T431" s="23">
        <f>('Investor-Inputs'!$G$19 * Q431) + ('Investor-Inputs'!$J$19 * R431) + ('Investor-Inputs'!$N$19 * S431)</f>
        <v>120.06299999999999</v>
      </c>
      <c r="U431" s="27">
        <f t="shared" si="27"/>
        <v>15</v>
      </c>
    </row>
    <row r="432" spans="3:21" x14ac:dyDescent="0.25">
      <c r="C432" s="2" t="s">
        <v>164</v>
      </c>
      <c r="D432" s="2">
        <v>4</v>
      </c>
      <c r="E432" s="2" t="s">
        <v>14</v>
      </c>
      <c r="F432" s="2" t="s">
        <v>162</v>
      </c>
      <c r="G432" s="3">
        <v>19.45</v>
      </c>
      <c r="H432" s="3">
        <v>20.76</v>
      </c>
      <c r="I432" s="3">
        <v>27.15</v>
      </c>
      <c r="J432" s="3">
        <v>16.399999999999999</v>
      </c>
      <c r="K432" s="3">
        <v>25.42</v>
      </c>
      <c r="L432" s="21">
        <v>21.86</v>
      </c>
      <c r="M432" s="3">
        <v>1.99</v>
      </c>
      <c r="N432" s="2" t="s">
        <v>16</v>
      </c>
      <c r="O432" s="4" t="s">
        <v>17</v>
      </c>
      <c r="P432" s="18" t="s">
        <v>350</v>
      </c>
      <c r="Q432" s="5">
        <f t="shared" si="24"/>
        <v>23.57</v>
      </c>
      <c r="R432" s="5">
        <f t="shared" si="25"/>
        <v>19.13</v>
      </c>
      <c r="S432" s="5">
        <f t="shared" si="26"/>
        <v>13.705</v>
      </c>
      <c r="T432" s="23">
        <f>('Investor-Inputs'!$G$19 * Q432) + ('Investor-Inputs'!$J$19 * R432) + ('Investor-Inputs'!$N$19 * S432)</f>
        <v>122.675</v>
      </c>
      <c r="U432" s="27">
        <f t="shared" si="27"/>
        <v>11</v>
      </c>
    </row>
    <row r="433" spans="3:21" x14ac:dyDescent="0.25">
      <c r="C433" s="2" t="s">
        <v>165</v>
      </c>
      <c r="D433" s="2">
        <v>5</v>
      </c>
      <c r="E433" s="2" t="s">
        <v>14</v>
      </c>
      <c r="F433" s="2" t="s">
        <v>162</v>
      </c>
      <c r="G433" s="3">
        <v>11.36</v>
      </c>
      <c r="H433" s="3">
        <v>8.8000000000000007</v>
      </c>
      <c r="I433" s="3">
        <v>26.12</v>
      </c>
      <c r="J433" s="3">
        <v>13.92</v>
      </c>
      <c r="K433" s="3">
        <v>24.3</v>
      </c>
      <c r="L433" s="21">
        <v>20.43</v>
      </c>
      <c r="M433" s="3">
        <v>2.04</v>
      </c>
      <c r="N433" s="2" t="s">
        <v>16</v>
      </c>
      <c r="O433" s="4" t="s">
        <v>17</v>
      </c>
      <c r="P433" s="18" t="s">
        <v>350</v>
      </c>
      <c r="Q433" s="5">
        <f t="shared" si="24"/>
        <v>22.597999999999999</v>
      </c>
      <c r="R433" s="5">
        <f t="shared" si="25"/>
        <v>17.175000000000001</v>
      </c>
      <c r="S433" s="5">
        <f t="shared" si="26"/>
        <v>13.17</v>
      </c>
      <c r="T433" s="23">
        <f>('Investor-Inputs'!$G$19 * Q433) + ('Investor-Inputs'!$J$19 * R433) + ('Investor-Inputs'!$N$19 * S433)</f>
        <v>115.31400000000001</v>
      </c>
      <c r="U433" s="27">
        <f t="shared" si="27"/>
        <v>23</v>
      </c>
    </row>
    <row r="434" spans="3:21" x14ac:dyDescent="0.25">
      <c r="C434" s="2" t="s">
        <v>166</v>
      </c>
      <c r="D434" s="2">
        <v>4</v>
      </c>
      <c r="E434" s="2" t="s">
        <v>14</v>
      </c>
      <c r="F434" s="2" t="s">
        <v>162</v>
      </c>
      <c r="G434" s="3">
        <v>6.44</v>
      </c>
      <c r="H434" s="3">
        <v>2.1800000000000002</v>
      </c>
      <c r="I434" s="3">
        <v>24.76</v>
      </c>
      <c r="J434" s="3">
        <v>10.36</v>
      </c>
      <c r="K434" s="3">
        <v>24.58</v>
      </c>
      <c r="L434" s="21">
        <v>19.350000000000001</v>
      </c>
      <c r="M434" s="3">
        <v>2.5299999999999998</v>
      </c>
      <c r="N434" s="2" t="s">
        <v>16</v>
      </c>
      <c r="O434" s="4" t="s">
        <v>17</v>
      </c>
      <c r="P434" s="18" t="s">
        <v>350</v>
      </c>
      <c r="Q434" s="5">
        <f t="shared" si="24"/>
        <v>22.194000000000003</v>
      </c>
      <c r="R434" s="5">
        <f t="shared" si="25"/>
        <v>14.855</v>
      </c>
      <c r="S434" s="5">
        <f t="shared" si="26"/>
        <v>13.555</v>
      </c>
      <c r="T434" s="23">
        <f>('Investor-Inputs'!$G$19 * Q434) + ('Investor-Inputs'!$J$19 * R434) + ('Investor-Inputs'!$N$19 * S434)</f>
        <v>109.84700000000001</v>
      </c>
      <c r="U434" s="27">
        <f t="shared" si="27"/>
        <v>29</v>
      </c>
    </row>
    <row r="435" spans="3:21" x14ac:dyDescent="0.25">
      <c r="C435" s="2" t="s">
        <v>167</v>
      </c>
      <c r="D435" s="2">
        <v>5</v>
      </c>
      <c r="E435" s="2" t="s">
        <v>14</v>
      </c>
      <c r="F435" s="2" t="s">
        <v>162</v>
      </c>
      <c r="G435" s="3">
        <v>11.11</v>
      </c>
      <c r="H435" s="3">
        <v>7.66</v>
      </c>
      <c r="I435" s="3">
        <v>23.91</v>
      </c>
      <c r="J435" s="3">
        <v>13.56</v>
      </c>
      <c r="K435" s="3">
        <v>26.64</v>
      </c>
      <c r="L435" s="21">
        <v>21.29</v>
      </c>
      <c r="M435" s="3">
        <v>2.34</v>
      </c>
      <c r="N435" s="2" t="s">
        <v>16</v>
      </c>
      <c r="O435" s="4" t="s">
        <v>17</v>
      </c>
      <c r="P435" s="18" t="s">
        <v>350</v>
      </c>
      <c r="Q435" s="5">
        <f t="shared" si="24"/>
        <v>22.884</v>
      </c>
      <c r="R435" s="5">
        <f t="shared" si="25"/>
        <v>17.425000000000001</v>
      </c>
      <c r="S435" s="5">
        <f t="shared" si="26"/>
        <v>14.49</v>
      </c>
      <c r="T435" s="23">
        <f>('Investor-Inputs'!$G$19 * Q435) + ('Investor-Inputs'!$J$19 * R435) + ('Investor-Inputs'!$N$19 * S435)</f>
        <v>117.992</v>
      </c>
      <c r="U435" s="27">
        <f t="shared" si="27"/>
        <v>19</v>
      </c>
    </row>
    <row r="436" spans="3:21" x14ac:dyDescent="0.25">
      <c r="C436" s="2" t="s">
        <v>168</v>
      </c>
      <c r="D436" s="2">
        <v>4</v>
      </c>
      <c r="E436" s="2" t="s">
        <v>14</v>
      </c>
      <c r="F436" s="2" t="s">
        <v>162</v>
      </c>
      <c r="G436" s="3">
        <v>18.920000000000002</v>
      </c>
      <c r="H436" s="3">
        <v>12.81</v>
      </c>
      <c r="I436" s="3">
        <v>28.67</v>
      </c>
      <c r="J436" s="3">
        <v>17.010000000000002</v>
      </c>
      <c r="K436" s="3">
        <v>24.94</v>
      </c>
      <c r="L436" s="21">
        <v>21.79</v>
      </c>
      <c r="M436" s="3">
        <v>2.1800000000000002</v>
      </c>
      <c r="N436" s="2" t="s">
        <v>16</v>
      </c>
      <c r="O436" s="4" t="s">
        <v>28</v>
      </c>
      <c r="P436" s="18" t="s">
        <v>350</v>
      </c>
      <c r="Q436" s="5">
        <f t="shared" si="24"/>
        <v>23.938000000000002</v>
      </c>
      <c r="R436" s="5">
        <f t="shared" si="25"/>
        <v>19.399999999999999</v>
      </c>
      <c r="S436" s="5">
        <f t="shared" si="26"/>
        <v>13.56</v>
      </c>
      <c r="T436" s="23">
        <f>('Investor-Inputs'!$G$19 * Q436) + ('Investor-Inputs'!$J$19 * R436) + ('Investor-Inputs'!$N$19 * S436)</f>
        <v>124.17400000000001</v>
      </c>
      <c r="U436" s="27">
        <f t="shared" si="27"/>
        <v>9</v>
      </c>
    </row>
    <row r="437" spans="3:21" x14ac:dyDescent="0.25">
      <c r="C437" s="2" t="s">
        <v>169</v>
      </c>
      <c r="D437" s="2">
        <v>4</v>
      </c>
      <c r="E437" s="2" t="s">
        <v>14</v>
      </c>
      <c r="F437" s="2" t="s">
        <v>170</v>
      </c>
      <c r="G437" s="3">
        <v>2.38</v>
      </c>
      <c r="H437" s="3">
        <v>2.2599999999999998</v>
      </c>
      <c r="I437" s="3">
        <v>6.72</v>
      </c>
      <c r="J437" s="3">
        <v>5.85</v>
      </c>
      <c r="K437" s="3">
        <v>5.73</v>
      </c>
      <c r="L437" s="21">
        <v>6.21</v>
      </c>
      <c r="M437" s="3">
        <v>0.95</v>
      </c>
      <c r="N437" s="2" t="s">
        <v>171</v>
      </c>
      <c r="O437" s="4" t="s">
        <v>28</v>
      </c>
      <c r="P437" s="18" t="s">
        <v>350</v>
      </c>
      <c r="Q437" s="5">
        <f t="shared" si="24"/>
        <v>5.5530000000000008</v>
      </c>
      <c r="R437" s="5">
        <f t="shared" si="25"/>
        <v>6.0299999999999994</v>
      </c>
      <c r="S437" s="5">
        <f t="shared" si="26"/>
        <v>3.3400000000000003</v>
      </c>
      <c r="T437" s="23">
        <f>('Investor-Inputs'!$G$19 * Q437) + ('Investor-Inputs'!$J$19 * R437) + ('Investor-Inputs'!$N$19 * S437)</f>
        <v>32.059000000000005</v>
      </c>
      <c r="U437" s="27">
        <f t="shared" si="27"/>
        <v>500</v>
      </c>
    </row>
    <row r="438" spans="3:21" x14ac:dyDescent="0.25">
      <c r="C438" s="2" t="s">
        <v>172</v>
      </c>
      <c r="D438" s="2">
        <v>4</v>
      </c>
      <c r="E438" s="2" t="s">
        <v>14</v>
      </c>
      <c r="F438" s="2" t="s">
        <v>170</v>
      </c>
      <c r="G438" s="3">
        <v>1.97</v>
      </c>
      <c r="H438" s="3">
        <v>1.37</v>
      </c>
      <c r="I438" s="3">
        <v>6.04</v>
      </c>
      <c r="J438" s="3">
        <v>5.32</v>
      </c>
      <c r="K438" s="3">
        <v>4.8099999999999996</v>
      </c>
      <c r="L438" s="21">
        <v>5.45</v>
      </c>
      <c r="M438" s="3">
        <v>1.24</v>
      </c>
      <c r="N438" s="2" t="s">
        <v>171</v>
      </c>
      <c r="O438" s="4" t="s">
        <v>17</v>
      </c>
      <c r="P438" s="18" t="s">
        <v>350</v>
      </c>
      <c r="Q438" s="5">
        <f t="shared" si="24"/>
        <v>4.8209999999999997</v>
      </c>
      <c r="R438" s="5">
        <f t="shared" si="25"/>
        <v>5.3849999999999998</v>
      </c>
      <c r="S438" s="5">
        <f t="shared" si="26"/>
        <v>3.0249999999999999</v>
      </c>
      <c r="T438" s="23">
        <f>('Investor-Inputs'!$G$19 * Q438) + ('Investor-Inputs'!$J$19 * R438) + ('Investor-Inputs'!$N$19 * S438)</f>
        <v>28.257999999999996</v>
      </c>
      <c r="U438" s="27">
        <f t="shared" si="27"/>
        <v>550</v>
      </c>
    </row>
    <row r="439" spans="3:21" x14ac:dyDescent="0.25">
      <c r="C439" s="2" t="s">
        <v>173</v>
      </c>
      <c r="D439" s="2">
        <v>4</v>
      </c>
      <c r="E439" s="2" t="s">
        <v>14</v>
      </c>
      <c r="F439" s="2" t="s">
        <v>170</v>
      </c>
      <c r="G439" s="3">
        <v>1.99</v>
      </c>
      <c r="H439" s="3">
        <v>1.92</v>
      </c>
      <c r="I439" s="3">
        <v>6.21</v>
      </c>
      <c r="J439" s="3">
        <v>5.53</v>
      </c>
      <c r="K439" s="3">
        <v>5.22</v>
      </c>
      <c r="L439" s="21">
        <v>5.84</v>
      </c>
      <c r="M439" s="3">
        <v>0.61</v>
      </c>
      <c r="N439" s="2" t="s">
        <v>171</v>
      </c>
      <c r="O439" s="4" t="s">
        <v>17</v>
      </c>
      <c r="P439" s="18" t="s">
        <v>350</v>
      </c>
      <c r="Q439" s="5">
        <f t="shared" si="24"/>
        <v>5.0939999999999994</v>
      </c>
      <c r="R439" s="5">
        <f t="shared" si="25"/>
        <v>5.6850000000000005</v>
      </c>
      <c r="S439" s="5">
        <f t="shared" si="26"/>
        <v>2.915</v>
      </c>
      <c r="T439" s="23">
        <f>('Investor-Inputs'!$G$19 * Q439) + ('Investor-Inputs'!$J$19 * R439) + ('Investor-Inputs'!$N$19 * S439)</f>
        <v>29.567</v>
      </c>
      <c r="U439" s="27">
        <f t="shared" si="27"/>
        <v>544</v>
      </c>
    </row>
    <row r="440" spans="3:21" x14ac:dyDescent="0.25">
      <c r="C440" s="2" t="s">
        <v>174</v>
      </c>
      <c r="D440" s="2">
        <v>4</v>
      </c>
      <c r="E440" s="2" t="s">
        <v>14</v>
      </c>
      <c r="F440" s="2" t="s">
        <v>175</v>
      </c>
      <c r="G440" s="3">
        <v>3.99</v>
      </c>
      <c r="H440" s="3">
        <v>3.07</v>
      </c>
      <c r="I440" s="3">
        <v>6.75</v>
      </c>
      <c r="J440" s="3">
        <v>6.28</v>
      </c>
      <c r="K440" s="3">
        <v>5.74</v>
      </c>
      <c r="L440" s="21">
        <v>6.3</v>
      </c>
      <c r="M440" s="3">
        <v>0.77</v>
      </c>
      <c r="N440" s="2" t="s">
        <v>171</v>
      </c>
      <c r="O440" s="4" t="s">
        <v>17</v>
      </c>
      <c r="P440" s="18" t="s">
        <v>350</v>
      </c>
      <c r="Q440" s="5">
        <f t="shared" si="24"/>
        <v>5.57</v>
      </c>
      <c r="R440" s="5">
        <f t="shared" si="25"/>
        <v>6.29</v>
      </c>
      <c r="S440" s="5">
        <f t="shared" si="26"/>
        <v>3.2549999999999999</v>
      </c>
      <c r="T440" s="23">
        <f>('Investor-Inputs'!$G$19 * Q440) + ('Investor-Inputs'!$J$19 * R440) + ('Investor-Inputs'!$N$19 * S440)</f>
        <v>32.545000000000002</v>
      </c>
      <c r="U440" s="27">
        <f t="shared" si="27"/>
        <v>486</v>
      </c>
    </row>
    <row r="441" spans="3:21" x14ac:dyDescent="0.25">
      <c r="C441" s="2" t="s">
        <v>176</v>
      </c>
      <c r="D441" s="2">
        <v>5</v>
      </c>
      <c r="E441" s="2" t="s">
        <v>14</v>
      </c>
      <c r="F441" s="2" t="s">
        <v>177</v>
      </c>
      <c r="G441" s="3">
        <v>5.31</v>
      </c>
      <c r="H441" s="3">
        <v>4.5199999999999996</v>
      </c>
      <c r="I441" s="3">
        <v>7.07</v>
      </c>
      <c r="J441" s="3">
        <v>6.88</v>
      </c>
      <c r="K441" s="3">
        <v>6.04</v>
      </c>
      <c r="L441" s="21">
        <v>6.69</v>
      </c>
      <c r="M441" s="3">
        <v>0.91</v>
      </c>
      <c r="N441" s="2" t="s">
        <v>171</v>
      </c>
      <c r="O441" s="4" t="s">
        <v>28</v>
      </c>
      <c r="P441" s="18" t="s">
        <v>350</v>
      </c>
      <c r="Q441" s="5">
        <f t="shared" si="24"/>
        <v>5.8480000000000008</v>
      </c>
      <c r="R441" s="5">
        <f t="shared" si="25"/>
        <v>6.7850000000000001</v>
      </c>
      <c r="S441" s="5">
        <f t="shared" si="26"/>
        <v>3.4750000000000001</v>
      </c>
      <c r="T441" s="23">
        <f>('Investor-Inputs'!$G$19 * Q441) + ('Investor-Inputs'!$J$19 * R441) + ('Investor-Inputs'!$N$19 * S441)</f>
        <v>34.589000000000006</v>
      </c>
      <c r="U441" s="27">
        <f t="shared" si="27"/>
        <v>407</v>
      </c>
    </row>
    <row r="442" spans="3:21" x14ac:dyDescent="0.25">
      <c r="C442" s="2" t="s">
        <v>178</v>
      </c>
      <c r="D442" s="2">
        <v>4</v>
      </c>
      <c r="E442" s="2" t="s">
        <v>14</v>
      </c>
      <c r="F442" s="2" t="s">
        <v>177</v>
      </c>
      <c r="G442" s="3">
        <v>4.97</v>
      </c>
      <c r="H442" s="3">
        <v>4.45</v>
      </c>
      <c r="I442" s="3">
        <v>6.93</v>
      </c>
      <c r="J442" s="3">
        <v>6.68</v>
      </c>
      <c r="K442" s="3">
        <v>5.75</v>
      </c>
      <c r="L442" s="21">
        <v>6.47</v>
      </c>
      <c r="M442" s="3">
        <v>0.82</v>
      </c>
      <c r="N442" s="2" t="s">
        <v>171</v>
      </c>
      <c r="O442" s="4" t="s">
        <v>17</v>
      </c>
      <c r="P442" s="18" t="s">
        <v>350</v>
      </c>
      <c r="Q442" s="5">
        <f t="shared" si="24"/>
        <v>5.6470000000000002</v>
      </c>
      <c r="R442" s="5">
        <f t="shared" si="25"/>
        <v>6.5749999999999993</v>
      </c>
      <c r="S442" s="5">
        <f t="shared" si="26"/>
        <v>3.2850000000000001</v>
      </c>
      <c r="T442" s="23">
        <f>('Investor-Inputs'!$G$19 * Q442) + ('Investor-Inputs'!$J$19 * R442) + ('Investor-Inputs'!$N$19 * S442)</f>
        <v>33.376000000000005</v>
      </c>
      <c r="U442" s="27">
        <f t="shared" si="27"/>
        <v>474</v>
      </c>
    </row>
    <row r="443" spans="3:21" x14ac:dyDescent="0.25">
      <c r="C443" s="2" t="s">
        <v>179</v>
      </c>
      <c r="D443" s="2">
        <v>5</v>
      </c>
      <c r="E443" s="2" t="s">
        <v>14</v>
      </c>
      <c r="F443" s="2" t="s">
        <v>177</v>
      </c>
      <c r="G443" s="3">
        <v>4.75</v>
      </c>
      <c r="H443" s="3">
        <v>4.09</v>
      </c>
      <c r="I443" s="3">
        <v>6.75</v>
      </c>
      <c r="J443" s="3">
        <v>6.46</v>
      </c>
      <c r="K443" s="2"/>
      <c r="L443" s="20"/>
      <c r="M443" s="3">
        <v>0.56000000000000005</v>
      </c>
      <c r="N443" s="2" t="s">
        <v>180</v>
      </c>
      <c r="O443" s="4" t="s">
        <v>28</v>
      </c>
      <c r="P443" s="18" t="s">
        <v>350</v>
      </c>
      <c r="Q443" s="5">
        <f t="shared" si="24"/>
        <v>2.7</v>
      </c>
      <c r="R443" s="5">
        <f t="shared" si="25"/>
        <v>3.23</v>
      </c>
      <c r="S443" s="5">
        <f t="shared" si="26"/>
        <v>0.28000000000000003</v>
      </c>
      <c r="T443" s="23">
        <f>('Investor-Inputs'!$G$19 * Q443) + ('Investor-Inputs'!$J$19 * R443) + ('Investor-Inputs'!$N$19 * S443)</f>
        <v>14.840000000000002</v>
      </c>
      <c r="U443" s="27">
        <f t="shared" si="27"/>
        <v>579</v>
      </c>
    </row>
    <row r="444" spans="3:21" x14ac:dyDescent="0.25">
      <c r="C444" s="2" t="s">
        <v>181</v>
      </c>
      <c r="D444" s="2">
        <v>5</v>
      </c>
      <c r="E444" s="2" t="s">
        <v>14</v>
      </c>
      <c r="F444" s="2" t="s">
        <v>177</v>
      </c>
      <c r="G444" s="3">
        <v>5.17</v>
      </c>
      <c r="H444" s="3">
        <v>4.3</v>
      </c>
      <c r="I444" s="3">
        <v>7.2</v>
      </c>
      <c r="J444" s="3">
        <v>6.8</v>
      </c>
      <c r="K444" s="3">
        <v>6.15</v>
      </c>
      <c r="L444" s="21">
        <v>6.72</v>
      </c>
      <c r="M444" s="3">
        <v>0.71</v>
      </c>
      <c r="N444" s="2" t="s">
        <v>171</v>
      </c>
      <c r="O444" s="4" t="s">
        <v>17</v>
      </c>
      <c r="P444" s="18" t="s">
        <v>350</v>
      </c>
      <c r="Q444" s="5">
        <f t="shared" si="24"/>
        <v>5.9550000000000001</v>
      </c>
      <c r="R444" s="5">
        <f t="shared" si="25"/>
        <v>6.76</v>
      </c>
      <c r="S444" s="5">
        <f t="shared" si="26"/>
        <v>3.43</v>
      </c>
      <c r="T444" s="23">
        <f>('Investor-Inputs'!$G$19 * Q444) + ('Investor-Inputs'!$J$19 * R444) + ('Investor-Inputs'!$N$19 * S444)</f>
        <v>34.815000000000005</v>
      </c>
      <c r="U444" s="27">
        <f t="shared" si="27"/>
        <v>401</v>
      </c>
    </row>
    <row r="445" spans="3:21" x14ac:dyDescent="0.25">
      <c r="C445" s="2" t="s">
        <v>182</v>
      </c>
      <c r="D445" s="2">
        <v>4</v>
      </c>
      <c r="E445" s="2" t="s">
        <v>14</v>
      </c>
      <c r="F445" s="2" t="s">
        <v>177</v>
      </c>
      <c r="G445" s="3">
        <v>4.84</v>
      </c>
      <c r="H445" s="3">
        <v>3.93</v>
      </c>
      <c r="I445" s="3">
        <v>6.73</v>
      </c>
      <c r="J445" s="3">
        <v>6.46</v>
      </c>
      <c r="K445" s="3">
        <v>5.54</v>
      </c>
      <c r="L445" s="21">
        <v>6.25</v>
      </c>
      <c r="M445" s="3">
        <v>0.74</v>
      </c>
      <c r="N445" s="2" t="s">
        <v>171</v>
      </c>
      <c r="O445" s="4" t="s">
        <v>17</v>
      </c>
      <c r="P445" s="18" t="s">
        <v>350</v>
      </c>
      <c r="Q445" s="5">
        <f t="shared" si="24"/>
        <v>5.4619999999999997</v>
      </c>
      <c r="R445" s="5">
        <f t="shared" si="25"/>
        <v>6.3550000000000004</v>
      </c>
      <c r="S445" s="5">
        <f t="shared" si="26"/>
        <v>3.14</v>
      </c>
      <c r="T445" s="23">
        <f>('Investor-Inputs'!$G$19 * Q445) + ('Investor-Inputs'!$J$19 * R445) + ('Investor-Inputs'!$N$19 * S445)</f>
        <v>32.235999999999997</v>
      </c>
      <c r="U445" s="27">
        <f t="shared" si="27"/>
        <v>496</v>
      </c>
    </row>
    <row r="446" spans="3:21" x14ac:dyDescent="0.25">
      <c r="C446" s="2" t="s">
        <v>183</v>
      </c>
      <c r="D446" s="2">
        <v>5</v>
      </c>
      <c r="E446" s="2" t="s">
        <v>14</v>
      </c>
      <c r="F446" s="2" t="s">
        <v>177</v>
      </c>
      <c r="G446" s="3">
        <v>5.47</v>
      </c>
      <c r="H446" s="3">
        <v>4.75</v>
      </c>
      <c r="I446" s="3">
        <v>7.23</v>
      </c>
      <c r="J446" s="3">
        <v>6.87</v>
      </c>
      <c r="K446" s="3">
        <v>6.37</v>
      </c>
      <c r="L446" s="21">
        <v>6.87</v>
      </c>
      <c r="M446" s="3">
        <v>1.04</v>
      </c>
      <c r="N446" s="2" t="s">
        <v>171</v>
      </c>
      <c r="O446" s="4" t="s">
        <v>17</v>
      </c>
      <c r="P446" s="18" t="s">
        <v>350</v>
      </c>
      <c r="Q446" s="5">
        <f t="shared" si="24"/>
        <v>6.077</v>
      </c>
      <c r="R446" s="5">
        <f t="shared" si="25"/>
        <v>6.87</v>
      </c>
      <c r="S446" s="5">
        <f t="shared" si="26"/>
        <v>3.7050000000000001</v>
      </c>
      <c r="T446" s="23">
        <f>('Investor-Inputs'!$G$19 * Q446) + ('Investor-Inputs'!$J$19 * R446) + ('Investor-Inputs'!$N$19 * S446)</f>
        <v>35.676000000000002</v>
      </c>
      <c r="U446" s="27">
        <f t="shared" si="27"/>
        <v>371</v>
      </c>
    </row>
    <row r="447" spans="3:21" x14ac:dyDescent="0.25">
      <c r="C447" s="2" t="s">
        <v>184</v>
      </c>
      <c r="D447" s="2">
        <v>4</v>
      </c>
      <c r="E447" s="2" t="s">
        <v>14</v>
      </c>
      <c r="F447" s="2" t="s">
        <v>177</v>
      </c>
      <c r="G447" s="3">
        <v>4.9800000000000004</v>
      </c>
      <c r="H447" s="3">
        <v>4.03</v>
      </c>
      <c r="I447" s="3">
        <v>7.01</v>
      </c>
      <c r="J447" s="3">
        <v>6.68</v>
      </c>
      <c r="K447" s="3">
        <v>5.97</v>
      </c>
      <c r="L447" s="21">
        <v>6.53</v>
      </c>
      <c r="M447" s="3">
        <v>0.94</v>
      </c>
      <c r="N447" s="2" t="s">
        <v>171</v>
      </c>
      <c r="O447" s="4" t="s">
        <v>17</v>
      </c>
      <c r="P447" s="18" t="s">
        <v>350</v>
      </c>
      <c r="Q447" s="5">
        <f t="shared" si="24"/>
        <v>5.7889999999999997</v>
      </c>
      <c r="R447" s="5">
        <f t="shared" si="25"/>
        <v>6.6050000000000004</v>
      </c>
      <c r="S447" s="5">
        <f t="shared" si="26"/>
        <v>3.4550000000000001</v>
      </c>
      <c r="T447" s="23">
        <f>('Investor-Inputs'!$G$19 * Q447) + ('Investor-Inputs'!$J$19 * R447) + ('Investor-Inputs'!$N$19 * S447)</f>
        <v>34.031999999999996</v>
      </c>
      <c r="U447" s="27">
        <f t="shared" si="27"/>
        <v>422</v>
      </c>
    </row>
    <row r="448" spans="3:21" x14ac:dyDescent="0.25">
      <c r="C448" s="2" t="s">
        <v>185</v>
      </c>
      <c r="D448" s="2">
        <v>4</v>
      </c>
      <c r="E448" s="2" t="s">
        <v>14</v>
      </c>
      <c r="F448" s="2" t="s">
        <v>177</v>
      </c>
      <c r="G448" s="3">
        <v>4.83</v>
      </c>
      <c r="H448" s="3">
        <v>3.85</v>
      </c>
      <c r="I448" s="3">
        <v>6.81</v>
      </c>
      <c r="J448" s="3">
        <v>6.48</v>
      </c>
      <c r="K448" s="3">
        <v>5.79</v>
      </c>
      <c r="L448" s="21">
        <v>6.38</v>
      </c>
      <c r="M448" s="3">
        <v>0.86</v>
      </c>
      <c r="N448" s="2" t="s">
        <v>171</v>
      </c>
      <c r="O448" s="4" t="s">
        <v>24</v>
      </c>
      <c r="P448" s="18" t="s">
        <v>350</v>
      </c>
      <c r="Q448" s="5">
        <f t="shared" si="24"/>
        <v>5.6189999999999998</v>
      </c>
      <c r="R448" s="5">
        <f t="shared" si="25"/>
        <v>6.43</v>
      </c>
      <c r="S448" s="5">
        <f t="shared" si="26"/>
        <v>3.3250000000000002</v>
      </c>
      <c r="T448" s="23">
        <f>('Investor-Inputs'!$G$19 * Q448) + ('Investor-Inputs'!$J$19 * R448) + ('Investor-Inputs'!$N$19 * S448)</f>
        <v>33.042000000000002</v>
      </c>
      <c r="U448" s="27">
        <f t="shared" si="27"/>
        <v>480</v>
      </c>
    </row>
    <row r="449" spans="3:21" x14ac:dyDescent="0.25">
      <c r="C449" s="2" t="s">
        <v>186</v>
      </c>
      <c r="D449" s="2">
        <v>4</v>
      </c>
      <c r="E449" s="2" t="s">
        <v>14</v>
      </c>
      <c r="F449" s="2" t="s">
        <v>177</v>
      </c>
      <c r="G449" s="3">
        <v>4.8</v>
      </c>
      <c r="H449" s="3">
        <v>4.1900000000000004</v>
      </c>
      <c r="I449" s="3">
        <v>6.81</v>
      </c>
      <c r="J449" s="3">
        <v>6.49</v>
      </c>
      <c r="K449" s="3">
        <v>7.2</v>
      </c>
      <c r="L449" s="21">
        <v>6.42</v>
      </c>
      <c r="M449" s="3">
        <v>0.8</v>
      </c>
      <c r="N449" s="2" t="s">
        <v>180</v>
      </c>
      <c r="O449" s="4" t="s">
        <v>17</v>
      </c>
      <c r="P449" s="18" t="s">
        <v>350</v>
      </c>
      <c r="Q449" s="5">
        <f t="shared" si="24"/>
        <v>6.3239999999999998</v>
      </c>
      <c r="R449" s="5">
        <f t="shared" si="25"/>
        <v>6.4550000000000001</v>
      </c>
      <c r="S449" s="5">
        <f t="shared" si="26"/>
        <v>4</v>
      </c>
      <c r="T449" s="23">
        <f>('Investor-Inputs'!$G$19 * Q449) + ('Investor-Inputs'!$J$19 * R449) + ('Investor-Inputs'!$N$19 * S449)</f>
        <v>35.882000000000005</v>
      </c>
      <c r="U449" s="27">
        <f t="shared" si="27"/>
        <v>355</v>
      </c>
    </row>
    <row r="450" spans="3:21" x14ac:dyDescent="0.25">
      <c r="C450" s="2" t="s">
        <v>187</v>
      </c>
      <c r="D450" s="2">
        <v>5</v>
      </c>
      <c r="E450" s="2" t="s">
        <v>14</v>
      </c>
      <c r="F450" s="2" t="s">
        <v>188</v>
      </c>
      <c r="G450" s="3">
        <v>6.17</v>
      </c>
      <c r="H450" s="3">
        <v>5.68</v>
      </c>
      <c r="I450" s="3">
        <v>7.11</v>
      </c>
      <c r="J450" s="3">
        <v>6.94</v>
      </c>
      <c r="K450" s="3">
        <v>6.13</v>
      </c>
      <c r="L450" s="21">
        <v>6.75</v>
      </c>
      <c r="M450" s="3">
        <v>0.71</v>
      </c>
      <c r="N450" s="2" t="s">
        <v>171</v>
      </c>
      <c r="O450" s="4" t="s">
        <v>28</v>
      </c>
      <c r="P450" s="18" t="s">
        <v>350</v>
      </c>
      <c r="Q450" s="5">
        <f t="shared" si="24"/>
        <v>5.9090000000000007</v>
      </c>
      <c r="R450" s="5">
        <f t="shared" si="25"/>
        <v>6.8450000000000006</v>
      </c>
      <c r="S450" s="5">
        <f t="shared" si="26"/>
        <v>3.42</v>
      </c>
      <c r="T450" s="23">
        <f>('Investor-Inputs'!$G$19 * Q450) + ('Investor-Inputs'!$J$19 * R450) + ('Investor-Inputs'!$N$19 * S450)</f>
        <v>34.837000000000003</v>
      </c>
      <c r="U450" s="27">
        <f t="shared" si="27"/>
        <v>399</v>
      </c>
    </row>
    <row r="451" spans="3:21" x14ac:dyDescent="0.25">
      <c r="C451" s="2" t="s">
        <v>189</v>
      </c>
      <c r="D451" s="2">
        <v>4</v>
      </c>
      <c r="E451" s="2" t="s">
        <v>14</v>
      </c>
      <c r="F451" s="2" t="s">
        <v>188</v>
      </c>
      <c r="G451" s="3">
        <v>5.83</v>
      </c>
      <c r="H451" s="3">
        <v>5.38</v>
      </c>
      <c r="I451" s="3">
        <v>6.84</v>
      </c>
      <c r="J451" s="3">
        <v>6.64</v>
      </c>
      <c r="K451" s="3">
        <v>5.86</v>
      </c>
      <c r="L451" s="21">
        <v>6.49</v>
      </c>
      <c r="M451" s="3">
        <v>0.67</v>
      </c>
      <c r="N451" s="2" t="s">
        <v>180</v>
      </c>
      <c r="O451" s="4" t="s">
        <v>24</v>
      </c>
      <c r="P451" s="18" t="s">
        <v>350</v>
      </c>
      <c r="Q451" s="5">
        <f t="shared" si="24"/>
        <v>5.6660000000000004</v>
      </c>
      <c r="R451" s="5">
        <f t="shared" si="25"/>
        <v>6.5649999999999995</v>
      </c>
      <c r="S451" s="5">
        <f t="shared" si="26"/>
        <v>3.2650000000000001</v>
      </c>
      <c r="T451" s="23">
        <f>('Investor-Inputs'!$G$19 * Q451) + ('Investor-Inputs'!$J$19 * R451) + ('Investor-Inputs'!$N$19 * S451)</f>
        <v>33.393000000000001</v>
      </c>
      <c r="U451" s="27">
        <f t="shared" si="27"/>
        <v>470</v>
      </c>
    </row>
    <row r="452" spans="3:21" x14ac:dyDescent="0.25">
      <c r="C452" s="2" t="s">
        <v>190</v>
      </c>
      <c r="D452" s="2">
        <v>4</v>
      </c>
      <c r="E452" s="2" t="s">
        <v>14</v>
      </c>
      <c r="F452" s="2" t="s">
        <v>188</v>
      </c>
      <c r="G452" s="3">
        <v>6.02</v>
      </c>
      <c r="H452" s="3">
        <v>5.58</v>
      </c>
      <c r="I452" s="3">
        <v>6.94</v>
      </c>
      <c r="J452" s="3">
        <v>6.74</v>
      </c>
      <c r="K452" s="3">
        <v>5.88</v>
      </c>
      <c r="L452" s="21">
        <v>6.55</v>
      </c>
      <c r="M452" s="3">
        <v>0.48</v>
      </c>
      <c r="N452" s="2" t="s">
        <v>180</v>
      </c>
      <c r="O452" s="4" t="s">
        <v>17</v>
      </c>
      <c r="P452" s="18" t="s">
        <v>350</v>
      </c>
      <c r="Q452" s="5">
        <f t="shared" si="24"/>
        <v>5.7160000000000002</v>
      </c>
      <c r="R452" s="5">
        <f t="shared" si="25"/>
        <v>6.6449999999999996</v>
      </c>
      <c r="S452" s="5">
        <f t="shared" si="26"/>
        <v>3.1799999999999997</v>
      </c>
      <c r="T452" s="23">
        <f>('Investor-Inputs'!$G$19 * Q452) + ('Investor-Inputs'!$J$19 * R452) + ('Investor-Inputs'!$N$19 * S452)</f>
        <v>33.617999999999995</v>
      </c>
      <c r="U452" s="27">
        <f t="shared" si="27"/>
        <v>460</v>
      </c>
    </row>
    <row r="453" spans="3:21" x14ac:dyDescent="0.25">
      <c r="C453" s="2" t="s">
        <v>191</v>
      </c>
      <c r="D453" s="2">
        <v>5</v>
      </c>
      <c r="E453" s="2" t="s">
        <v>14</v>
      </c>
      <c r="F453" s="2" t="s">
        <v>188</v>
      </c>
      <c r="G453" s="3">
        <v>6.42</v>
      </c>
      <c r="H453" s="3">
        <v>5.9</v>
      </c>
      <c r="I453" s="3">
        <v>7.47</v>
      </c>
      <c r="J453" s="3">
        <v>7.18</v>
      </c>
      <c r="K453" s="3">
        <v>6.48</v>
      </c>
      <c r="L453" s="21">
        <v>7.05</v>
      </c>
      <c r="M453" s="3">
        <v>0.57999999999999996</v>
      </c>
      <c r="N453" s="2" t="s">
        <v>180</v>
      </c>
      <c r="O453" s="4" t="s">
        <v>28</v>
      </c>
      <c r="P453" s="18" t="s">
        <v>350</v>
      </c>
      <c r="Q453" s="5">
        <f t="shared" si="24"/>
        <v>6.2279999999999998</v>
      </c>
      <c r="R453" s="5">
        <f t="shared" si="25"/>
        <v>7.1150000000000002</v>
      </c>
      <c r="S453" s="5">
        <f t="shared" si="26"/>
        <v>3.5300000000000002</v>
      </c>
      <c r="T453" s="23">
        <f>('Investor-Inputs'!$G$19 * Q453) + ('Investor-Inputs'!$J$19 * R453) + ('Investor-Inputs'!$N$19 * S453)</f>
        <v>36.444000000000003</v>
      </c>
      <c r="U453" s="27">
        <f t="shared" si="27"/>
        <v>347</v>
      </c>
    </row>
    <row r="454" spans="3:21" x14ac:dyDescent="0.25">
      <c r="C454" s="2" t="s">
        <v>192</v>
      </c>
      <c r="D454" s="2">
        <v>4</v>
      </c>
      <c r="E454" s="2" t="s">
        <v>14</v>
      </c>
      <c r="F454" s="2" t="s">
        <v>188</v>
      </c>
      <c r="G454" s="3">
        <v>5.95</v>
      </c>
      <c r="H454" s="3">
        <v>5.48</v>
      </c>
      <c r="I454" s="3">
        <v>6.94</v>
      </c>
      <c r="J454" s="3">
        <v>6.73</v>
      </c>
      <c r="K454" s="3">
        <v>5.88</v>
      </c>
      <c r="L454" s="21">
        <v>6.54</v>
      </c>
      <c r="M454" s="3">
        <v>0.74</v>
      </c>
      <c r="N454" s="2" t="s">
        <v>180</v>
      </c>
      <c r="O454" s="4" t="s">
        <v>17</v>
      </c>
      <c r="P454" s="18" t="s">
        <v>350</v>
      </c>
      <c r="Q454" s="5">
        <f t="shared" si="24"/>
        <v>5.7160000000000002</v>
      </c>
      <c r="R454" s="5">
        <f t="shared" si="25"/>
        <v>6.6349999999999998</v>
      </c>
      <c r="S454" s="5">
        <f t="shared" si="26"/>
        <v>3.31</v>
      </c>
      <c r="T454" s="23">
        <f>('Investor-Inputs'!$G$19 * Q454) + ('Investor-Inputs'!$J$19 * R454) + ('Investor-Inputs'!$N$19 * S454)</f>
        <v>33.728000000000002</v>
      </c>
      <c r="U454" s="27">
        <f t="shared" si="27"/>
        <v>452</v>
      </c>
    </row>
    <row r="455" spans="3:21" x14ac:dyDescent="0.25">
      <c r="C455" s="2" t="s">
        <v>193</v>
      </c>
      <c r="D455" s="2">
        <v>4</v>
      </c>
      <c r="E455" s="2" t="s">
        <v>14</v>
      </c>
      <c r="F455" s="2" t="s">
        <v>188</v>
      </c>
      <c r="G455" s="3">
        <v>5.89</v>
      </c>
      <c r="H455" s="3">
        <v>5.48</v>
      </c>
      <c r="I455" s="3">
        <v>6.88</v>
      </c>
      <c r="J455" s="3">
        <v>6.69</v>
      </c>
      <c r="K455" s="3">
        <v>5.91</v>
      </c>
      <c r="L455" s="21">
        <v>6.52</v>
      </c>
      <c r="M455" s="3">
        <v>0.6</v>
      </c>
      <c r="N455" s="2" t="s">
        <v>180</v>
      </c>
      <c r="O455" s="4" t="s">
        <v>17</v>
      </c>
      <c r="P455" s="18" t="s">
        <v>350</v>
      </c>
      <c r="Q455" s="5">
        <f t="shared" si="24"/>
        <v>5.7070000000000007</v>
      </c>
      <c r="R455" s="5">
        <f t="shared" si="25"/>
        <v>6.6050000000000004</v>
      </c>
      <c r="S455" s="5">
        <f t="shared" si="26"/>
        <v>3.2549999999999999</v>
      </c>
      <c r="T455" s="23">
        <f>('Investor-Inputs'!$G$19 * Q455) + ('Investor-Inputs'!$J$19 * R455) + ('Investor-Inputs'!$N$19 * S455)</f>
        <v>33.586000000000006</v>
      </c>
      <c r="U455" s="27">
        <f t="shared" si="27"/>
        <v>462</v>
      </c>
    </row>
    <row r="456" spans="3:21" x14ac:dyDescent="0.25">
      <c r="C456" s="2" t="s">
        <v>194</v>
      </c>
      <c r="D456" s="2">
        <v>4</v>
      </c>
      <c r="E456" s="2" t="s">
        <v>14</v>
      </c>
      <c r="F456" s="2" t="s">
        <v>188</v>
      </c>
      <c r="G456" s="3">
        <v>6.21</v>
      </c>
      <c r="H456" s="3">
        <v>5.75</v>
      </c>
      <c r="I456" s="3">
        <v>7.17</v>
      </c>
      <c r="J456" s="3">
        <v>6.99</v>
      </c>
      <c r="K456" s="3">
        <v>7.24</v>
      </c>
      <c r="L456" s="21">
        <v>7</v>
      </c>
      <c r="M456" s="3">
        <v>0.42</v>
      </c>
      <c r="N456" s="2" t="s">
        <v>171</v>
      </c>
      <c r="O456" s="4" t="s">
        <v>17</v>
      </c>
      <c r="P456" s="18" t="s">
        <v>350</v>
      </c>
      <c r="Q456" s="5">
        <f t="shared" ref="Q456:Q519" si="28">I456*0.4+K456*0.5</f>
        <v>6.4880000000000004</v>
      </c>
      <c r="R456" s="5">
        <f t="shared" ref="R456:R519" si="29">(L456+J456)/2</f>
        <v>6.9950000000000001</v>
      </c>
      <c r="S456" s="5">
        <f t="shared" ref="S456:S519" si="30">(M456+K456)/2</f>
        <v>3.83</v>
      </c>
      <c r="T456" s="23">
        <f>('Investor-Inputs'!$G$19 * Q456) + ('Investor-Inputs'!$J$19 * R456) + ('Investor-Inputs'!$N$19 * S456)</f>
        <v>37.283999999999999</v>
      </c>
      <c r="U456" s="27">
        <f t="shared" ref="U456:U519" si="31">_xlfn.RANK.EQ(T456,$T$7:$T$592,0)</f>
        <v>337</v>
      </c>
    </row>
    <row r="457" spans="3:21" x14ac:dyDescent="0.25">
      <c r="C457" s="2" t="s">
        <v>195</v>
      </c>
      <c r="D457" s="2">
        <v>4</v>
      </c>
      <c r="E457" s="2" t="s">
        <v>14</v>
      </c>
      <c r="F457" s="2" t="s">
        <v>196</v>
      </c>
      <c r="G457" s="3">
        <v>6.45</v>
      </c>
      <c r="H457" s="3">
        <v>6.11</v>
      </c>
      <c r="I457" s="3">
        <v>7.29</v>
      </c>
      <c r="J457" s="3">
        <v>7.1</v>
      </c>
      <c r="K457" s="3">
        <v>6.32</v>
      </c>
      <c r="L457" s="21">
        <v>6.92</v>
      </c>
      <c r="M457" s="3">
        <v>0.57999999999999996</v>
      </c>
      <c r="N457" s="2" t="s">
        <v>171</v>
      </c>
      <c r="O457" s="4" t="s">
        <v>28</v>
      </c>
      <c r="P457" s="18" t="s">
        <v>350</v>
      </c>
      <c r="Q457" s="5">
        <f t="shared" si="28"/>
        <v>6.0760000000000005</v>
      </c>
      <c r="R457" s="5">
        <f t="shared" si="29"/>
        <v>7.01</v>
      </c>
      <c r="S457" s="5">
        <f t="shared" si="30"/>
        <v>3.45</v>
      </c>
      <c r="T457" s="23">
        <f>('Investor-Inputs'!$G$19 * Q457) + ('Investor-Inputs'!$J$19 * R457) + ('Investor-Inputs'!$N$19 * S457)</f>
        <v>35.698000000000008</v>
      </c>
      <c r="U457" s="27">
        <f t="shared" si="31"/>
        <v>365</v>
      </c>
    </row>
    <row r="458" spans="3:21" x14ac:dyDescent="0.25">
      <c r="C458" s="2" t="s">
        <v>197</v>
      </c>
      <c r="D458" s="2">
        <v>4</v>
      </c>
      <c r="E458" s="2" t="s">
        <v>14</v>
      </c>
      <c r="F458" s="2" t="s">
        <v>196</v>
      </c>
      <c r="G458" s="3">
        <v>6.23</v>
      </c>
      <c r="H458" s="3">
        <v>6.07</v>
      </c>
      <c r="I458" s="3">
        <v>6.97</v>
      </c>
      <c r="J458" s="3">
        <v>6.8</v>
      </c>
      <c r="K458" s="3">
        <v>5.98</v>
      </c>
      <c r="L458" s="21">
        <v>6.62</v>
      </c>
      <c r="M458" s="3">
        <v>0.47</v>
      </c>
      <c r="N458" s="2" t="s">
        <v>180</v>
      </c>
      <c r="O458" s="4" t="s">
        <v>17</v>
      </c>
      <c r="P458" s="18" t="s">
        <v>350</v>
      </c>
      <c r="Q458" s="5">
        <f t="shared" si="28"/>
        <v>5.7780000000000005</v>
      </c>
      <c r="R458" s="5">
        <f t="shared" si="29"/>
        <v>6.71</v>
      </c>
      <c r="S458" s="5">
        <f t="shared" si="30"/>
        <v>3.2250000000000001</v>
      </c>
      <c r="T458" s="23">
        <f>('Investor-Inputs'!$G$19 * Q458) + ('Investor-Inputs'!$J$19 * R458) + ('Investor-Inputs'!$N$19 * S458)</f>
        <v>33.979000000000006</v>
      </c>
      <c r="U458" s="27">
        <f t="shared" si="31"/>
        <v>430</v>
      </c>
    </row>
    <row r="459" spans="3:21" x14ac:dyDescent="0.25">
      <c r="C459" s="2" t="s">
        <v>198</v>
      </c>
      <c r="D459" s="2">
        <v>5</v>
      </c>
      <c r="E459" s="2" t="s">
        <v>14</v>
      </c>
      <c r="F459" s="2" t="s">
        <v>196</v>
      </c>
      <c r="G459" s="3">
        <v>6.3</v>
      </c>
      <c r="H459" s="3">
        <v>6.13</v>
      </c>
      <c r="I459" s="3">
        <v>7.06</v>
      </c>
      <c r="J459" s="3">
        <v>6.87</v>
      </c>
      <c r="K459" s="3">
        <v>6.19</v>
      </c>
      <c r="L459" s="21">
        <v>6.76</v>
      </c>
      <c r="M459" s="3">
        <v>0.43</v>
      </c>
      <c r="N459" s="2" t="s">
        <v>180</v>
      </c>
      <c r="O459" s="4" t="s">
        <v>17</v>
      </c>
      <c r="P459" s="18" t="s">
        <v>350</v>
      </c>
      <c r="Q459" s="5">
        <f t="shared" si="28"/>
        <v>5.9190000000000005</v>
      </c>
      <c r="R459" s="5">
        <f t="shared" si="29"/>
        <v>6.8149999999999995</v>
      </c>
      <c r="S459" s="5">
        <f t="shared" si="30"/>
        <v>3.31</v>
      </c>
      <c r="T459" s="23">
        <f>('Investor-Inputs'!$G$19 * Q459) + ('Investor-Inputs'!$J$19 * R459) + ('Investor-Inputs'!$N$19 * S459)</f>
        <v>34.697000000000003</v>
      </c>
      <c r="U459" s="27">
        <f t="shared" si="31"/>
        <v>405</v>
      </c>
    </row>
    <row r="460" spans="3:21" x14ac:dyDescent="0.25">
      <c r="C460" s="2" t="s">
        <v>199</v>
      </c>
      <c r="D460" s="2">
        <v>4</v>
      </c>
      <c r="E460" s="2" t="s">
        <v>14</v>
      </c>
      <c r="F460" s="2" t="s">
        <v>196</v>
      </c>
      <c r="G460" s="3">
        <v>6.28</v>
      </c>
      <c r="H460" s="3">
        <v>6.14</v>
      </c>
      <c r="I460" s="3">
        <v>6.99</v>
      </c>
      <c r="J460" s="3">
        <v>6.84</v>
      </c>
      <c r="K460" s="3">
        <v>6.02</v>
      </c>
      <c r="L460" s="21">
        <v>6.66</v>
      </c>
      <c r="M460" s="3">
        <v>0.42</v>
      </c>
      <c r="N460" s="2" t="s">
        <v>180</v>
      </c>
      <c r="O460" s="4" t="s">
        <v>17</v>
      </c>
      <c r="P460" s="18" t="s">
        <v>350</v>
      </c>
      <c r="Q460" s="5">
        <f t="shared" si="28"/>
        <v>5.806</v>
      </c>
      <c r="R460" s="5">
        <f t="shared" si="29"/>
        <v>6.75</v>
      </c>
      <c r="S460" s="5">
        <f t="shared" si="30"/>
        <v>3.2199999999999998</v>
      </c>
      <c r="T460" s="23">
        <f>('Investor-Inputs'!$G$19 * Q460) + ('Investor-Inputs'!$J$19 * R460) + ('Investor-Inputs'!$N$19 * S460)</f>
        <v>34.137999999999998</v>
      </c>
      <c r="U460" s="27">
        <f t="shared" si="31"/>
        <v>418</v>
      </c>
    </row>
    <row r="461" spans="3:21" x14ac:dyDescent="0.25">
      <c r="C461" s="2" t="s">
        <v>200</v>
      </c>
      <c r="D461" s="2">
        <v>4</v>
      </c>
      <c r="E461" s="2" t="s">
        <v>14</v>
      </c>
      <c r="F461" s="2" t="s">
        <v>196</v>
      </c>
      <c r="G461" s="3">
        <v>6.33</v>
      </c>
      <c r="H461" s="3">
        <v>6.04</v>
      </c>
      <c r="I461" s="3">
        <v>7</v>
      </c>
      <c r="J461" s="3">
        <v>6.85</v>
      </c>
      <c r="K461" s="3">
        <v>6.1</v>
      </c>
      <c r="L461" s="21">
        <v>6.67</v>
      </c>
      <c r="M461" s="3">
        <v>0.77</v>
      </c>
      <c r="N461" s="2" t="s">
        <v>171</v>
      </c>
      <c r="O461" s="4" t="s">
        <v>17</v>
      </c>
      <c r="P461" s="18" t="s">
        <v>350</v>
      </c>
      <c r="Q461" s="5">
        <f t="shared" si="28"/>
        <v>5.85</v>
      </c>
      <c r="R461" s="5">
        <f t="shared" si="29"/>
        <v>6.76</v>
      </c>
      <c r="S461" s="5">
        <f t="shared" si="30"/>
        <v>3.4349999999999996</v>
      </c>
      <c r="T461" s="23">
        <f>('Investor-Inputs'!$G$19 * Q461) + ('Investor-Inputs'!$J$19 * R461) + ('Investor-Inputs'!$N$19 * S461)</f>
        <v>34.504999999999995</v>
      </c>
      <c r="U461" s="27">
        <f t="shared" si="31"/>
        <v>409</v>
      </c>
    </row>
    <row r="462" spans="3:21" x14ac:dyDescent="0.25">
      <c r="C462" s="2" t="s">
        <v>201</v>
      </c>
      <c r="D462" s="2">
        <v>4</v>
      </c>
      <c r="E462" s="2" t="s">
        <v>14</v>
      </c>
      <c r="F462" s="2" t="s">
        <v>196</v>
      </c>
      <c r="G462" s="3">
        <v>6.06</v>
      </c>
      <c r="H462" s="3">
        <v>5.91</v>
      </c>
      <c r="I462" s="3">
        <v>6.85</v>
      </c>
      <c r="J462" s="3">
        <v>6.7</v>
      </c>
      <c r="K462" s="3">
        <v>5.78</v>
      </c>
      <c r="L462" s="21">
        <v>6.47</v>
      </c>
      <c r="M462" s="3">
        <v>0.83</v>
      </c>
      <c r="N462" s="2" t="s">
        <v>171</v>
      </c>
      <c r="O462" s="4" t="s">
        <v>24</v>
      </c>
      <c r="P462" s="18" t="s">
        <v>350</v>
      </c>
      <c r="Q462" s="5">
        <f t="shared" si="28"/>
        <v>5.6300000000000008</v>
      </c>
      <c r="R462" s="5">
        <f t="shared" si="29"/>
        <v>6.585</v>
      </c>
      <c r="S462" s="5">
        <f t="shared" si="30"/>
        <v>3.3050000000000002</v>
      </c>
      <c r="T462" s="23">
        <f>('Investor-Inputs'!$G$19 * Q462) + ('Investor-Inputs'!$J$19 * R462) + ('Investor-Inputs'!$N$19 * S462)</f>
        <v>33.365000000000002</v>
      </c>
      <c r="U462" s="27">
        <f t="shared" si="31"/>
        <v>476</v>
      </c>
    </row>
    <row r="463" spans="3:21" x14ac:dyDescent="0.25">
      <c r="C463" s="2" t="s">
        <v>202</v>
      </c>
      <c r="D463" s="2">
        <v>5</v>
      </c>
      <c r="E463" s="2" t="s">
        <v>14</v>
      </c>
      <c r="F463" s="2" t="s">
        <v>196</v>
      </c>
      <c r="G463" s="3">
        <v>6.36</v>
      </c>
      <c r="H463" s="3">
        <v>6.13</v>
      </c>
      <c r="I463" s="3">
        <v>7.16</v>
      </c>
      <c r="J463" s="3">
        <v>6.97</v>
      </c>
      <c r="K463" s="3">
        <v>6.17</v>
      </c>
      <c r="L463" s="21">
        <v>6.79</v>
      </c>
      <c r="M463" s="3">
        <v>0.51</v>
      </c>
      <c r="N463" s="2" t="s">
        <v>180</v>
      </c>
      <c r="O463" s="4" t="s">
        <v>28</v>
      </c>
      <c r="P463" s="18" t="s">
        <v>350</v>
      </c>
      <c r="Q463" s="5">
        <f t="shared" si="28"/>
        <v>5.9489999999999998</v>
      </c>
      <c r="R463" s="5">
        <f t="shared" si="29"/>
        <v>6.88</v>
      </c>
      <c r="S463" s="5">
        <f t="shared" si="30"/>
        <v>3.34</v>
      </c>
      <c r="T463" s="23">
        <f>('Investor-Inputs'!$G$19 * Q463) + ('Investor-Inputs'!$J$19 * R463) + ('Investor-Inputs'!$N$19 * S463)</f>
        <v>34.947000000000003</v>
      </c>
      <c r="U463" s="27">
        <f t="shared" si="31"/>
        <v>395</v>
      </c>
    </row>
    <row r="464" spans="3:21" x14ac:dyDescent="0.25">
      <c r="C464" s="2" t="s">
        <v>203</v>
      </c>
      <c r="D464" s="2">
        <v>5</v>
      </c>
      <c r="E464" s="2" t="s">
        <v>14</v>
      </c>
      <c r="F464" s="2" t="s">
        <v>196</v>
      </c>
      <c r="G464" s="3">
        <v>6.19</v>
      </c>
      <c r="H464" s="3">
        <v>5.97</v>
      </c>
      <c r="I464" s="3">
        <v>6.96</v>
      </c>
      <c r="J464" s="3">
        <v>6.78</v>
      </c>
      <c r="K464" s="3">
        <v>5.98</v>
      </c>
      <c r="L464" s="21">
        <v>6.61</v>
      </c>
      <c r="M464" s="3">
        <v>0.56000000000000005</v>
      </c>
      <c r="N464" s="2" t="s">
        <v>171</v>
      </c>
      <c r="O464" s="4" t="s">
        <v>17</v>
      </c>
      <c r="P464" s="18" t="s">
        <v>350</v>
      </c>
      <c r="Q464" s="5">
        <f t="shared" si="28"/>
        <v>5.7740000000000009</v>
      </c>
      <c r="R464" s="5">
        <f t="shared" si="29"/>
        <v>6.6950000000000003</v>
      </c>
      <c r="S464" s="5">
        <f t="shared" si="30"/>
        <v>3.2700000000000005</v>
      </c>
      <c r="T464" s="23">
        <f>('Investor-Inputs'!$G$19 * Q464) + ('Investor-Inputs'!$J$19 * R464) + ('Investor-Inputs'!$N$19 * S464)</f>
        <v>33.982000000000006</v>
      </c>
      <c r="U464" s="27">
        <f t="shared" si="31"/>
        <v>428</v>
      </c>
    </row>
    <row r="465" spans="3:21" x14ac:dyDescent="0.25">
      <c r="C465" s="2" t="s">
        <v>204</v>
      </c>
      <c r="D465" s="2">
        <v>4</v>
      </c>
      <c r="E465" s="2" t="s">
        <v>14</v>
      </c>
      <c r="F465" s="2" t="s">
        <v>205</v>
      </c>
      <c r="G465" s="3">
        <v>6.22</v>
      </c>
      <c r="H465" s="3">
        <v>6.35</v>
      </c>
      <c r="I465" s="3">
        <v>6.91</v>
      </c>
      <c r="J465" s="3">
        <v>6.74</v>
      </c>
      <c r="K465" s="3">
        <v>6.02</v>
      </c>
      <c r="L465" s="21">
        <v>6.6</v>
      </c>
      <c r="M465" s="3">
        <v>0.35</v>
      </c>
      <c r="N465" s="2" t="s">
        <v>171</v>
      </c>
      <c r="O465" s="4" t="s">
        <v>17</v>
      </c>
      <c r="P465" s="18" t="s">
        <v>350</v>
      </c>
      <c r="Q465" s="5">
        <f t="shared" si="28"/>
        <v>5.774</v>
      </c>
      <c r="R465" s="5">
        <f t="shared" si="29"/>
        <v>6.67</v>
      </c>
      <c r="S465" s="5">
        <f t="shared" si="30"/>
        <v>3.1849999999999996</v>
      </c>
      <c r="T465" s="23">
        <f>('Investor-Inputs'!$G$19 * Q465) + ('Investor-Inputs'!$J$19 * R465) + ('Investor-Inputs'!$N$19 * S465)</f>
        <v>33.847000000000001</v>
      </c>
      <c r="U465" s="27">
        <f t="shared" si="31"/>
        <v>442</v>
      </c>
    </row>
    <row r="466" spans="3:21" x14ac:dyDescent="0.25">
      <c r="C466" s="2" t="s">
        <v>206</v>
      </c>
      <c r="D466" s="2">
        <v>4</v>
      </c>
      <c r="E466" s="2" t="s">
        <v>14</v>
      </c>
      <c r="F466" s="2" t="s">
        <v>205</v>
      </c>
      <c r="G466" s="3">
        <v>6.26</v>
      </c>
      <c r="H466" s="3">
        <v>6.39</v>
      </c>
      <c r="I466" s="3">
        <v>6.95</v>
      </c>
      <c r="J466" s="3">
        <v>6.78</v>
      </c>
      <c r="K466" s="3">
        <v>6.05</v>
      </c>
      <c r="L466" s="21">
        <v>6.64</v>
      </c>
      <c r="M466" s="3">
        <v>0.21</v>
      </c>
      <c r="N466" s="2" t="s">
        <v>171</v>
      </c>
      <c r="O466" s="4" t="s">
        <v>17</v>
      </c>
      <c r="P466" s="18" t="s">
        <v>350</v>
      </c>
      <c r="Q466" s="5">
        <f t="shared" si="28"/>
        <v>5.8049999999999997</v>
      </c>
      <c r="R466" s="5">
        <f t="shared" si="29"/>
        <v>6.71</v>
      </c>
      <c r="S466" s="5">
        <f t="shared" si="30"/>
        <v>3.13</v>
      </c>
      <c r="T466" s="23">
        <f>('Investor-Inputs'!$G$19 * Q466) + ('Investor-Inputs'!$J$19 * R466) + ('Investor-Inputs'!$N$19 * S466)</f>
        <v>33.965000000000003</v>
      </c>
      <c r="U466" s="27">
        <f t="shared" si="31"/>
        <v>432</v>
      </c>
    </row>
    <row r="467" spans="3:21" x14ac:dyDescent="0.25">
      <c r="C467" s="2" t="s">
        <v>207</v>
      </c>
      <c r="D467" s="2">
        <v>5</v>
      </c>
      <c r="E467" s="2" t="s">
        <v>14</v>
      </c>
      <c r="F467" s="2" t="s">
        <v>205</v>
      </c>
      <c r="G467" s="3">
        <v>6.26</v>
      </c>
      <c r="H467" s="3">
        <v>6.36</v>
      </c>
      <c r="I467" s="3">
        <v>6.98</v>
      </c>
      <c r="J467" s="3">
        <v>6.79</v>
      </c>
      <c r="K467" s="3">
        <v>6.06</v>
      </c>
      <c r="L467" s="21">
        <v>6.65</v>
      </c>
      <c r="M467" s="3">
        <v>0.14000000000000001</v>
      </c>
      <c r="N467" s="2" t="s">
        <v>180</v>
      </c>
      <c r="O467" s="4" t="s">
        <v>28</v>
      </c>
      <c r="P467" s="18" t="s">
        <v>350</v>
      </c>
      <c r="Q467" s="5">
        <f t="shared" si="28"/>
        <v>5.8220000000000001</v>
      </c>
      <c r="R467" s="5">
        <f t="shared" si="29"/>
        <v>6.7200000000000006</v>
      </c>
      <c r="S467" s="5">
        <f t="shared" si="30"/>
        <v>3.0999999999999996</v>
      </c>
      <c r="T467" s="23">
        <f>('Investor-Inputs'!$G$19 * Q467) + ('Investor-Inputs'!$J$19 * R467) + ('Investor-Inputs'!$N$19 * S467)</f>
        <v>34.006</v>
      </c>
      <c r="U467" s="27">
        <f t="shared" si="31"/>
        <v>424</v>
      </c>
    </row>
    <row r="468" spans="3:21" x14ac:dyDescent="0.25">
      <c r="C468" s="2" t="s">
        <v>208</v>
      </c>
      <c r="D468" s="2">
        <v>4</v>
      </c>
      <c r="E468" s="2" t="s">
        <v>14</v>
      </c>
      <c r="F468" s="2" t="s">
        <v>205</v>
      </c>
      <c r="G468" s="3">
        <v>6.24</v>
      </c>
      <c r="H468" s="3">
        <v>6.37</v>
      </c>
      <c r="I468" s="3">
        <v>6.92</v>
      </c>
      <c r="J468" s="3">
        <v>6.76</v>
      </c>
      <c r="K468" s="3">
        <v>6</v>
      </c>
      <c r="L468" s="21">
        <v>6.6</v>
      </c>
      <c r="M468" s="3">
        <v>0.21</v>
      </c>
      <c r="N468" s="2" t="s">
        <v>180</v>
      </c>
      <c r="O468" s="4" t="s">
        <v>17</v>
      </c>
      <c r="P468" s="18" t="s">
        <v>350</v>
      </c>
      <c r="Q468" s="5">
        <f t="shared" si="28"/>
        <v>5.7680000000000007</v>
      </c>
      <c r="R468" s="5">
        <f t="shared" si="29"/>
        <v>6.68</v>
      </c>
      <c r="S468" s="5">
        <f t="shared" si="30"/>
        <v>3.105</v>
      </c>
      <c r="T468" s="23">
        <f>('Investor-Inputs'!$G$19 * Q468) + ('Investor-Inputs'!$J$19 * R468) + ('Investor-Inputs'!$N$19 * S468)</f>
        <v>33.768999999999998</v>
      </c>
      <c r="U468" s="27">
        <f t="shared" si="31"/>
        <v>450</v>
      </c>
    </row>
    <row r="469" spans="3:21" x14ac:dyDescent="0.25">
      <c r="C469" s="2" t="s">
        <v>209</v>
      </c>
      <c r="D469" s="2">
        <v>5</v>
      </c>
      <c r="E469" s="2" t="s">
        <v>14</v>
      </c>
      <c r="F469" s="2" t="s">
        <v>205</v>
      </c>
      <c r="G469" s="3">
        <v>6.26</v>
      </c>
      <c r="H469" s="3">
        <v>6.37</v>
      </c>
      <c r="I469" s="3">
        <v>6.89</v>
      </c>
      <c r="J469" s="3">
        <v>6.75</v>
      </c>
      <c r="K469" s="3">
        <v>5.94</v>
      </c>
      <c r="L469" s="21">
        <v>6.56</v>
      </c>
      <c r="M469" s="3">
        <v>0.19</v>
      </c>
      <c r="N469" s="2" t="s">
        <v>180</v>
      </c>
      <c r="O469" s="4" t="s">
        <v>28</v>
      </c>
      <c r="P469" s="18" t="s">
        <v>350</v>
      </c>
      <c r="Q469" s="5">
        <f t="shared" si="28"/>
        <v>5.7260000000000009</v>
      </c>
      <c r="R469" s="5">
        <f t="shared" si="29"/>
        <v>6.6549999999999994</v>
      </c>
      <c r="S469" s="5">
        <f t="shared" si="30"/>
        <v>3.0650000000000004</v>
      </c>
      <c r="T469" s="23">
        <f>('Investor-Inputs'!$G$19 * Q469) + ('Investor-Inputs'!$J$19 * R469) + ('Investor-Inputs'!$N$19 * S469)</f>
        <v>33.553000000000004</v>
      </c>
      <c r="U469" s="27">
        <f t="shared" si="31"/>
        <v>466</v>
      </c>
    </row>
    <row r="470" spans="3:21" x14ac:dyDescent="0.25">
      <c r="C470" s="2" t="s">
        <v>210</v>
      </c>
      <c r="D470" s="2">
        <v>4</v>
      </c>
      <c r="E470" s="2" t="s">
        <v>14</v>
      </c>
      <c r="F470" s="2" t="s">
        <v>205</v>
      </c>
      <c r="G470" s="3">
        <v>6.24</v>
      </c>
      <c r="H470" s="3">
        <v>6.32</v>
      </c>
      <c r="I470" s="3">
        <v>6.94</v>
      </c>
      <c r="J470" s="3">
        <v>6.77</v>
      </c>
      <c r="K470" s="3">
        <v>6.02</v>
      </c>
      <c r="L470" s="21">
        <v>6.62</v>
      </c>
      <c r="M470" s="3">
        <v>0.2</v>
      </c>
      <c r="N470" s="2" t="s">
        <v>180</v>
      </c>
      <c r="O470" s="4" t="s">
        <v>28</v>
      </c>
      <c r="P470" s="18" t="s">
        <v>350</v>
      </c>
      <c r="Q470" s="5">
        <f t="shared" si="28"/>
        <v>5.7859999999999996</v>
      </c>
      <c r="R470" s="5">
        <f t="shared" si="29"/>
        <v>6.6950000000000003</v>
      </c>
      <c r="S470" s="5">
        <f t="shared" si="30"/>
        <v>3.11</v>
      </c>
      <c r="T470" s="23">
        <f>('Investor-Inputs'!$G$19 * Q470) + ('Investor-Inputs'!$J$19 * R470) + ('Investor-Inputs'!$N$19 * S470)</f>
        <v>33.857999999999997</v>
      </c>
      <c r="U470" s="27">
        <f t="shared" si="31"/>
        <v>440</v>
      </c>
    </row>
    <row r="471" spans="3:21" x14ac:dyDescent="0.25">
      <c r="C471" s="2" t="s">
        <v>211</v>
      </c>
      <c r="D471" s="2">
        <v>4</v>
      </c>
      <c r="E471" s="2" t="s">
        <v>14</v>
      </c>
      <c r="F471" s="2" t="s">
        <v>205</v>
      </c>
      <c r="G471" s="3">
        <v>6.2</v>
      </c>
      <c r="H471" s="3">
        <v>6.3</v>
      </c>
      <c r="I471" s="3">
        <v>6.89</v>
      </c>
      <c r="J471" s="3">
        <v>6.74</v>
      </c>
      <c r="K471" s="3">
        <v>5.87</v>
      </c>
      <c r="L471" s="21">
        <v>6.53</v>
      </c>
      <c r="M471" s="3">
        <v>0.2</v>
      </c>
      <c r="N471" s="2" t="s">
        <v>180</v>
      </c>
      <c r="O471" s="4" t="s">
        <v>17</v>
      </c>
      <c r="P471" s="18" t="s">
        <v>350</v>
      </c>
      <c r="Q471" s="5">
        <f t="shared" si="28"/>
        <v>5.6910000000000007</v>
      </c>
      <c r="R471" s="5">
        <f t="shared" si="29"/>
        <v>6.6349999999999998</v>
      </c>
      <c r="S471" s="5">
        <f t="shared" si="30"/>
        <v>3.0350000000000001</v>
      </c>
      <c r="T471" s="23">
        <f>('Investor-Inputs'!$G$19 * Q471) + ('Investor-Inputs'!$J$19 * R471) + ('Investor-Inputs'!$N$19 * S471)</f>
        <v>33.378</v>
      </c>
      <c r="U471" s="27">
        <f t="shared" si="31"/>
        <v>472</v>
      </c>
    </row>
    <row r="472" spans="3:21" x14ac:dyDescent="0.25">
      <c r="C472" s="2" t="s">
        <v>212</v>
      </c>
      <c r="D472" s="2">
        <v>5</v>
      </c>
      <c r="E472" s="2" t="s">
        <v>14</v>
      </c>
      <c r="F472" s="2" t="s">
        <v>205</v>
      </c>
      <c r="G472" s="3">
        <v>6.22</v>
      </c>
      <c r="H472" s="3">
        <v>6.33</v>
      </c>
      <c r="I472" s="3">
        <v>6.92</v>
      </c>
      <c r="J472" s="3">
        <v>6.74</v>
      </c>
      <c r="K472" s="3">
        <v>6.01</v>
      </c>
      <c r="L472" s="21">
        <v>6.59</v>
      </c>
      <c r="M472" s="3">
        <v>0.24</v>
      </c>
      <c r="N472" s="2" t="s">
        <v>180</v>
      </c>
      <c r="O472" s="4" t="s">
        <v>28</v>
      </c>
      <c r="P472" s="18" t="s">
        <v>350</v>
      </c>
      <c r="Q472" s="5">
        <f t="shared" si="28"/>
        <v>5.7729999999999997</v>
      </c>
      <c r="R472" s="5">
        <f t="shared" si="29"/>
        <v>6.665</v>
      </c>
      <c r="S472" s="5">
        <f t="shared" si="30"/>
        <v>3.125</v>
      </c>
      <c r="T472" s="23">
        <f>('Investor-Inputs'!$G$19 * Q472) + ('Investor-Inputs'!$J$19 * R472) + ('Investor-Inputs'!$N$19 * S472)</f>
        <v>33.774000000000001</v>
      </c>
      <c r="U472" s="27">
        <f t="shared" si="31"/>
        <v>446</v>
      </c>
    </row>
    <row r="473" spans="3:21" x14ac:dyDescent="0.25">
      <c r="C473" s="2" t="s">
        <v>213</v>
      </c>
      <c r="D473" s="2">
        <v>4</v>
      </c>
      <c r="E473" s="2" t="s">
        <v>14</v>
      </c>
      <c r="F473" s="2" t="s">
        <v>205</v>
      </c>
      <c r="G473" s="3">
        <v>6.21</v>
      </c>
      <c r="H473" s="3">
        <v>6.32</v>
      </c>
      <c r="I473" s="3">
        <v>6.91</v>
      </c>
      <c r="J473" s="3">
        <v>6.73</v>
      </c>
      <c r="K473" s="3">
        <v>6.02</v>
      </c>
      <c r="L473" s="21">
        <v>6.6</v>
      </c>
      <c r="M473" s="3">
        <v>0.26</v>
      </c>
      <c r="N473" s="2" t="s">
        <v>171</v>
      </c>
      <c r="O473" s="4" t="s">
        <v>17</v>
      </c>
      <c r="P473" s="18" t="s">
        <v>350</v>
      </c>
      <c r="Q473" s="5">
        <f t="shared" si="28"/>
        <v>5.774</v>
      </c>
      <c r="R473" s="5">
        <f t="shared" si="29"/>
        <v>6.665</v>
      </c>
      <c r="S473" s="5">
        <f t="shared" si="30"/>
        <v>3.1399999999999997</v>
      </c>
      <c r="T473" s="23">
        <f>('Investor-Inputs'!$G$19 * Q473) + ('Investor-Inputs'!$J$19 * R473) + ('Investor-Inputs'!$N$19 * S473)</f>
        <v>33.792000000000002</v>
      </c>
      <c r="U473" s="27">
        <f t="shared" si="31"/>
        <v>444</v>
      </c>
    </row>
    <row r="474" spans="3:21" x14ac:dyDescent="0.25">
      <c r="C474" s="2" t="s">
        <v>214</v>
      </c>
      <c r="D474" s="2">
        <v>4</v>
      </c>
      <c r="E474" s="2" t="s">
        <v>14</v>
      </c>
      <c r="F474" s="2" t="s">
        <v>205</v>
      </c>
      <c r="G474" s="3">
        <v>6.17</v>
      </c>
      <c r="H474" s="3">
        <v>6.26</v>
      </c>
      <c r="I474" s="3">
        <v>6.89</v>
      </c>
      <c r="J474" s="3">
        <v>6.7</v>
      </c>
      <c r="K474" s="3">
        <v>6</v>
      </c>
      <c r="L474" s="21">
        <v>6.57</v>
      </c>
      <c r="M474" s="3">
        <v>0.21</v>
      </c>
      <c r="N474" s="2" t="s">
        <v>180</v>
      </c>
      <c r="O474" s="4" t="s">
        <v>17</v>
      </c>
      <c r="P474" s="18" t="s">
        <v>350</v>
      </c>
      <c r="Q474" s="5">
        <f t="shared" si="28"/>
        <v>5.7560000000000002</v>
      </c>
      <c r="R474" s="5">
        <f t="shared" si="29"/>
        <v>6.6349999999999998</v>
      </c>
      <c r="S474" s="5">
        <f t="shared" si="30"/>
        <v>3.105</v>
      </c>
      <c r="T474" s="23">
        <f>('Investor-Inputs'!$G$19 * Q474) + ('Investor-Inputs'!$J$19 * R474) + ('Investor-Inputs'!$N$19 * S474)</f>
        <v>33.643000000000001</v>
      </c>
      <c r="U474" s="27">
        <f t="shared" si="31"/>
        <v>458</v>
      </c>
    </row>
    <row r="475" spans="3:21" x14ac:dyDescent="0.25">
      <c r="C475" s="2" t="s">
        <v>215</v>
      </c>
      <c r="D475" s="2">
        <v>4</v>
      </c>
      <c r="E475" s="2" t="s">
        <v>14</v>
      </c>
      <c r="F475" s="2" t="s">
        <v>205</v>
      </c>
      <c r="G475" s="3">
        <v>6.2</v>
      </c>
      <c r="H475" s="3">
        <v>6.33</v>
      </c>
      <c r="I475" s="3">
        <v>6.9</v>
      </c>
      <c r="J475" s="3">
        <v>6.73</v>
      </c>
      <c r="K475" s="3">
        <v>6</v>
      </c>
      <c r="L475" s="21">
        <v>6.58</v>
      </c>
      <c r="M475" s="3">
        <v>0.22</v>
      </c>
      <c r="N475" s="2" t="s">
        <v>180</v>
      </c>
      <c r="O475" s="4" t="s">
        <v>17</v>
      </c>
      <c r="P475" s="18" t="s">
        <v>350</v>
      </c>
      <c r="Q475" s="5">
        <f t="shared" si="28"/>
        <v>5.76</v>
      </c>
      <c r="R475" s="5">
        <f t="shared" si="29"/>
        <v>6.6550000000000002</v>
      </c>
      <c r="S475" s="5">
        <f t="shared" si="30"/>
        <v>3.11</v>
      </c>
      <c r="T475" s="23">
        <f>('Investor-Inputs'!$G$19 * Q475) + ('Investor-Inputs'!$J$19 * R475) + ('Investor-Inputs'!$N$19 * S475)</f>
        <v>33.700000000000003</v>
      </c>
      <c r="U475" s="27">
        <f t="shared" si="31"/>
        <v>454</v>
      </c>
    </row>
    <row r="476" spans="3:21" x14ac:dyDescent="0.25">
      <c r="C476" s="2" t="s">
        <v>216</v>
      </c>
      <c r="D476" s="2">
        <v>4</v>
      </c>
      <c r="E476" s="2" t="s">
        <v>14</v>
      </c>
      <c r="F476" s="2" t="s">
        <v>205</v>
      </c>
      <c r="G476" s="3">
        <v>6.2</v>
      </c>
      <c r="H476" s="3">
        <v>6.3</v>
      </c>
      <c r="I476" s="3">
        <v>6.89</v>
      </c>
      <c r="J476" s="3">
        <v>6.72</v>
      </c>
      <c r="K476" s="3">
        <v>5.97</v>
      </c>
      <c r="L476" s="21">
        <v>6.57</v>
      </c>
      <c r="M476" s="3">
        <v>0.33</v>
      </c>
      <c r="N476" s="2" t="s">
        <v>180</v>
      </c>
      <c r="O476" s="4" t="s">
        <v>17</v>
      </c>
      <c r="P476" s="18" t="s">
        <v>350</v>
      </c>
      <c r="Q476" s="5">
        <f t="shared" si="28"/>
        <v>5.7409999999999997</v>
      </c>
      <c r="R476" s="5">
        <f t="shared" si="29"/>
        <v>6.6449999999999996</v>
      </c>
      <c r="S476" s="5">
        <f t="shared" si="30"/>
        <v>3.15</v>
      </c>
      <c r="T476" s="23">
        <f>('Investor-Inputs'!$G$19 * Q476) + ('Investor-Inputs'!$J$19 * R476) + ('Investor-Inputs'!$N$19 * S476)</f>
        <v>33.662999999999997</v>
      </c>
      <c r="U476" s="27">
        <f t="shared" si="31"/>
        <v>456</v>
      </c>
    </row>
    <row r="477" spans="3:21" x14ac:dyDescent="0.25">
      <c r="C477" s="2" t="s">
        <v>217</v>
      </c>
      <c r="D477" s="2">
        <v>4</v>
      </c>
      <c r="E477" s="2" t="s">
        <v>14</v>
      </c>
      <c r="F477" s="2" t="s">
        <v>205</v>
      </c>
      <c r="G477" s="3">
        <v>6.21</v>
      </c>
      <c r="H477" s="3">
        <v>6.33</v>
      </c>
      <c r="I477" s="3">
        <v>6.92</v>
      </c>
      <c r="J477" s="3">
        <v>6.74</v>
      </c>
      <c r="K477" s="3">
        <v>6.02</v>
      </c>
      <c r="L477" s="21">
        <v>6.6</v>
      </c>
      <c r="M477" s="3">
        <v>0.17</v>
      </c>
      <c r="N477" s="2" t="s">
        <v>180</v>
      </c>
      <c r="O477" s="4" t="s">
        <v>17</v>
      </c>
      <c r="P477" s="18" t="s">
        <v>350</v>
      </c>
      <c r="Q477" s="5">
        <f t="shared" si="28"/>
        <v>5.7780000000000005</v>
      </c>
      <c r="R477" s="5">
        <f t="shared" si="29"/>
        <v>6.67</v>
      </c>
      <c r="S477" s="5">
        <f t="shared" si="30"/>
        <v>3.0949999999999998</v>
      </c>
      <c r="T477" s="23">
        <f>('Investor-Inputs'!$G$19 * Q477) + ('Investor-Inputs'!$J$19 * R477) + ('Investor-Inputs'!$N$19 * S477)</f>
        <v>33.769000000000005</v>
      </c>
      <c r="U477" s="27">
        <f t="shared" si="31"/>
        <v>448</v>
      </c>
    </row>
    <row r="478" spans="3:21" x14ac:dyDescent="0.25">
      <c r="C478" s="2" t="s">
        <v>218</v>
      </c>
      <c r="D478" s="2">
        <v>4</v>
      </c>
      <c r="E478" s="2" t="s">
        <v>14</v>
      </c>
      <c r="F478" s="2" t="s">
        <v>219</v>
      </c>
      <c r="G478" s="3">
        <v>6.3</v>
      </c>
      <c r="H478" s="3">
        <v>5.98</v>
      </c>
      <c r="I478" s="3">
        <v>7.28</v>
      </c>
      <c r="J478" s="3">
        <v>7.04</v>
      </c>
      <c r="K478" s="3">
        <v>6.35</v>
      </c>
      <c r="L478" s="21">
        <v>6.93</v>
      </c>
      <c r="M478" s="3">
        <v>0.37</v>
      </c>
      <c r="N478" s="2" t="s">
        <v>171</v>
      </c>
      <c r="O478" s="4" t="s">
        <v>24</v>
      </c>
      <c r="P478" s="18" t="s">
        <v>350</v>
      </c>
      <c r="Q478" s="5">
        <f t="shared" si="28"/>
        <v>6.0869999999999997</v>
      </c>
      <c r="R478" s="5">
        <f t="shared" si="29"/>
        <v>6.9849999999999994</v>
      </c>
      <c r="S478" s="5">
        <f t="shared" si="30"/>
        <v>3.36</v>
      </c>
      <c r="T478" s="23">
        <f>('Investor-Inputs'!$G$19 * Q478) + ('Investor-Inputs'!$J$19 * R478) + ('Investor-Inputs'!$N$19 * S478)</f>
        <v>35.590999999999994</v>
      </c>
      <c r="U478" s="27">
        <f t="shared" si="31"/>
        <v>375</v>
      </c>
    </row>
    <row r="479" spans="3:21" x14ac:dyDescent="0.25">
      <c r="C479" s="2" t="s">
        <v>220</v>
      </c>
      <c r="D479" s="2">
        <v>5</v>
      </c>
      <c r="E479" s="2" t="s">
        <v>14</v>
      </c>
      <c r="F479" s="2" t="s">
        <v>219</v>
      </c>
      <c r="G479" s="3">
        <v>6.34</v>
      </c>
      <c r="H479" s="3">
        <v>6.05</v>
      </c>
      <c r="I479" s="3">
        <v>7.28</v>
      </c>
      <c r="J479" s="3">
        <v>7.08</v>
      </c>
      <c r="K479" s="3">
        <v>6.32</v>
      </c>
      <c r="L479" s="21">
        <v>6.94</v>
      </c>
      <c r="M479" s="3">
        <v>0.34</v>
      </c>
      <c r="N479" s="2" t="s">
        <v>180</v>
      </c>
      <c r="O479" s="4" t="s">
        <v>28</v>
      </c>
      <c r="P479" s="18" t="s">
        <v>350</v>
      </c>
      <c r="Q479" s="5">
        <f t="shared" si="28"/>
        <v>6.072000000000001</v>
      </c>
      <c r="R479" s="5">
        <f t="shared" si="29"/>
        <v>7.01</v>
      </c>
      <c r="S479" s="5">
        <f t="shared" si="30"/>
        <v>3.33</v>
      </c>
      <c r="T479" s="23">
        <f>('Investor-Inputs'!$G$19 * Q479) + ('Investor-Inputs'!$J$19 * R479) + ('Investor-Inputs'!$N$19 * S479)</f>
        <v>35.566000000000003</v>
      </c>
      <c r="U479" s="27">
        <f t="shared" si="31"/>
        <v>379</v>
      </c>
    </row>
    <row r="480" spans="3:21" x14ac:dyDescent="0.25">
      <c r="C480" s="2" t="s">
        <v>221</v>
      </c>
      <c r="D480" s="2">
        <v>4</v>
      </c>
      <c r="E480" s="2" t="s">
        <v>14</v>
      </c>
      <c r="F480" s="2" t="s">
        <v>219</v>
      </c>
      <c r="G480" s="3">
        <v>6.31</v>
      </c>
      <c r="H480" s="3">
        <v>6.04</v>
      </c>
      <c r="I480" s="3">
        <v>6.91</v>
      </c>
      <c r="J480" s="3">
        <v>6.87</v>
      </c>
      <c r="K480" s="3">
        <v>5.79</v>
      </c>
      <c r="L480" s="21">
        <v>6.56</v>
      </c>
      <c r="M480" s="3">
        <v>0.35</v>
      </c>
      <c r="N480" s="2" t="s">
        <v>180</v>
      </c>
      <c r="O480" s="4" t="s">
        <v>24</v>
      </c>
      <c r="P480" s="18" t="s">
        <v>350</v>
      </c>
      <c r="Q480" s="5">
        <f t="shared" si="28"/>
        <v>5.6590000000000007</v>
      </c>
      <c r="R480" s="5">
        <f t="shared" si="29"/>
        <v>6.7149999999999999</v>
      </c>
      <c r="S480" s="5">
        <f t="shared" si="30"/>
        <v>3.07</v>
      </c>
      <c r="T480" s="23">
        <f>('Investor-Inputs'!$G$19 * Q480) + ('Investor-Inputs'!$J$19 * R480) + ('Investor-Inputs'!$N$19 * S480)</f>
        <v>33.477000000000004</v>
      </c>
      <c r="U480" s="27">
        <f t="shared" si="31"/>
        <v>468</v>
      </c>
    </row>
    <row r="481" spans="3:21" x14ac:dyDescent="0.25">
      <c r="C481" s="2" t="s">
        <v>222</v>
      </c>
      <c r="D481" s="2">
        <v>4</v>
      </c>
      <c r="E481" s="2" t="s">
        <v>14</v>
      </c>
      <c r="F481" s="2" t="s">
        <v>219</v>
      </c>
      <c r="G481" s="3">
        <v>6.27</v>
      </c>
      <c r="H481" s="3">
        <v>5.98</v>
      </c>
      <c r="I481" s="3">
        <v>7.22</v>
      </c>
      <c r="J481" s="3">
        <v>7.01</v>
      </c>
      <c r="K481" s="3">
        <v>6.27</v>
      </c>
      <c r="L481" s="21">
        <v>6.87</v>
      </c>
      <c r="M481" s="3">
        <v>0.46</v>
      </c>
      <c r="N481" s="2" t="s">
        <v>171</v>
      </c>
      <c r="O481" s="4" t="s">
        <v>24</v>
      </c>
      <c r="P481" s="18" t="s">
        <v>350</v>
      </c>
      <c r="Q481" s="5">
        <f t="shared" si="28"/>
        <v>6.0229999999999997</v>
      </c>
      <c r="R481" s="5">
        <f t="shared" si="29"/>
        <v>6.9399999999999995</v>
      </c>
      <c r="S481" s="5">
        <f t="shared" si="30"/>
        <v>3.3649999999999998</v>
      </c>
      <c r="T481" s="23">
        <f>('Investor-Inputs'!$G$19 * Q481) + ('Investor-Inputs'!$J$19 * R481) + ('Investor-Inputs'!$N$19 * S481)</f>
        <v>35.314</v>
      </c>
      <c r="U481" s="27">
        <f t="shared" si="31"/>
        <v>387</v>
      </c>
    </row>
    <row r="482" spans="3:21" x14ac:dyDescent="0.25">
      <c r="C482" s="2" t="s">
        <v>223</v>
      </c>
      <c r="D482" s="2">
        <v>4</v>
      </c>
      <c r="E482" s="2" t="s">
        <v>14</v>
      </c>
      <c r="F482" s="2" t="s">
        <v>219</v>
      </c>
      <c r="G482" s="3">
        <v>6.29</v>
      </c>
      <c r="H482" s="3">
        <v>5.96</v>
      </c>
      <c r="I482" s="3">
        <v>7.27</v>
      </c>
      <c r="J482" s="3">
        <v>7.05</v>
      </c>
      <c r="K482" s="3">
        <v>6.3</v>
      </c>
      <c r="L482" s="21">
        <v>6.91</v>
      </c>
      <c r="M482" s="3">
        <v>0.39</v>
      </c>
      <c r="N482" s="2" t="s">
        <v>180</v>
      </c>
      <c r="O482" s="4" t="s">
        <v>17</v>
      </c>
      <c r="P482" s="18" t="s">
        <v>350</v>
      </c>
      <c r="Q482" s="5">
        <f t="shared" si="28"/>
        <v>6.0579999999999998</v>
      </c>
      <c r="R482" s="5">
        <f t="shared" si="29"/>
        <v>6.98</v>
      </c>
      <c r="S482" s="5">
        <f t="shared" si="30"/>
        <v>3.3449999999999998</v>
      </c>
      <c r="T482" s="23">
        <f>('Investor-Inputs'!$G$19 * Q482) + ('Investor-Inputs'!$J$19 * R482) + ('Investor-Inputs'!$N$19 * S482)</f>
        <v>35.478999999999999</v>
      </c>
      <c r="U482" s="27">
        <f t="shared" si="31"/>
        <v>381</v>
      </c>
    </row>
    <row r="483" spans="3:21" x14ac:dyDescent="0.25">
      <c r="C483" s="2" t="s">
        <v>224</v>
      </c>
      <c r="D483" s="2">
        <v>4</v>
      </c>
      <c r="E483" s="2" t="s">
        <v>14</v>
      </c>
      <c r="F483" s="2" t="s">
        <v>219</v>
      </c>
      <c r="G483" s="3">
        <v>6.29</v>
      </c>
      <c r="H483" s="3">
        <v>6</v>
      </c>
      <c r="I483" s="3">
        <v>7.24</v>
      </c>
      <c r="J483" s="3">
        <v>7.04</v>
      </c>
      <c r="K483" s="3">
        <v>6.31</v>
      </c>
      <c r="L483" s="21">
        <v>6.91</v>
      </c>
      <c r="M483" s="3">
        <v>0.37</v>
      </c>
      <c r="N483" s="2" t="s">
        <v>171</v>
      </c>
      <c r="O483" s="4" t="s">
        <v>17</v>
      </c>
      <c r="P483" s="18" t="s">
        <v>350</v>
      </c>
      <c r="Q483" s="5">
        <f t="shared" si="28"/>
        <v>6.0510000000000002</v>
      </c>
      <c r="R483" s="5">
        <f t="shared" si="29"/>
        <v>6.9749999999999996</v>
      </c>
      <c r="S483" s="5">
        <f t="shared" si="30"/>
        <v>3.34</v>
      </c>
      <c r="T483" s="23">
        <f>('Investor-Inputs'!$G$19 * Q483) + ('Investor-Inputs'!$J$19 * R483) + ('Investor-Inputs'!$N$19 * S483)</f>
        <v>35.442999999999998</v>
      </c>
      <c r="U483" s="27">
        <f t="shared" si="31"/>
        <v>385</v>
      </c>
    </row>
    <row r="484" spans="3:21" x14ac:dyDescent="0.25">
      <c r="C484" s="2" t="s">
        <v>225</v>
      </c>
      <c r="D484" s="2">
        <v>4</v>
      </c>
      <c r="E484" s="2" t="s">
        <v>14</v>
      </c>
      <c r="F484" s="2" t="s">
        <v>219</v>
      </c>
      <c r="G484" s="3">
        <v>6.33</v>
      </c>
      <c r="H484" s="3">
        <v>6.05</v>
      </c>
      <c r="I484" s="3">
        <v>7.27</v>
      </c>
      <c r="J484" s="3">
        <v>7.07</v>
      </c>
      <c r="K484" s="3">
        <v>6.33</v>
      </c>
      <c r="L484" s="21">
        <v>6.93</v>
      </c>
      <c r="M484" s="3">
        <v>0.42</v>
      </c>
      <c r="N484" s="2" t="s">
        <v>171</v>
      </c>
      <c r="O484" s="4" t="s">
        <v>17</v>
      </c>
      <c r="P484" s="18" t="s">
        <v>350</v>
      </c>
      <c r="Q484" s="5">
        <f t="shared" si="28"/>
        <v>6.0730000000000004</v>
      </c>
      <c r="R484" s="5">
        <f t="shared" si="29"/>
        <v>7</v>
      </c>
      <c r="S484" s="5">
        <f t="shared" si="30"/>
        <v>3.375</v>
      </c>
      <c r="T484" s="23">
        <f>('Investor-Inputs'!$G$19 * Q484) + ('Investor-Inputs'!$J$19 * R484) + ('Investor-Inputs'!$N$19 * S484)</f>
        <v>35.594000000000001</v>
      </c>
      <c r="U484" s="27">
        <f t="shared" si="31"/>
        <v>373</v>
      </c>
    </row>
    <row r="485" spans="3:21" x14ac:dyDescent="0.25">
      <c r="C485" s="2" t="s">
        <v>226</v>
      </c>
      <c r="D485" s="2">
        <v>4</v>
      </c>
      <c r="E485" s="2" t="s">
        <v>14</v>
      </c>
      <c r="F485" s="2" t="s">
        <v>219</v>
      </c>
      <c r="G485" s="3">
        <v>6.34</v>
      </c>
      <c r="H485" s="3">
        <v>6.02</v>
      </c>
      <c r="I485" s="3">
        <v>7.31</v>
      </c>
      <c r="J485" s="3">
        <v>7.09</v>
      </c>
      <c r="K485" s="3">
        <v>6.37</v>
      </c>
      <c r="L485" s="21">
        <v>6.97</v>
      </c>
      <c r="M485" s="3">
        <v>0.25</v>
      </c>
      <c r="N485" s="2" t="s">
        <v>171</v>
      </c>
      <c r="O485" s="4" t="s">
        <v>28</v>
      </c>
      <c r="P485" s="18" t="s">
        <v>350</v>
      </c>
      <c r="Q485" s="5">
        <f t="shared" si="28"/>
        <v>6.109</v>
      </c>
      <c r="R485" s="5">
        <f t="shared" si="29"/>
        <v>7.0299999999999994</v>
      </c>
      <c r="S485" s="5">
        <f t="shared" si="30"/>
        <v>3.31</v>
      </c>
      <c r="T485" s="23">
        <f>('Investor-Inputs'!$G$19 * Q485) + ('Investor-Inputs'!$J$19 * R485) + ('Investor-Inputs'!$N$19 * S485)</f>
        <v>35.697000000000003</v>
      </c>
      <c r="U485" s="27">
        <f t="shared" si="31"/>
        <v>367</v>
      </c>
    </row>
    <row r="486" spans="3:21" x14ac:dyDescent="0.25">
      <c r="C486" s="2" t="s">
        <v>227</v>
      </c>
      <c r="D486" s="2">
        <v>5</v>
      </c>
      <c r="E486" s="2" t="s">
        <v>14</v>
      </c>
      <c r="F486" s="2" t="s">
        <v>228</v>
      </c>
      <c r="G486" s="3">
        <v>5.4</v>
      </c>
      <c r="H486" s="3">
        <v>5.31</v>
      </c>
      <c r="I486" s="3">
        <v>6.25</v>
      </c>
      <c r="J486" s="3">
        <v>5.95</v>
      </c>
      <c r="K486" s="3">
        <v>5.54</v>
      </c>
      <c r="L486" s="21">
        <v>5.96</v>
      </c>
      <c r="M486" s="3">
        <v>0.14000000000000001</v>
      </c>
      <c r="N486" s="2" t="s">
        <v>229</v>
      </c>
      <c r="O486" s="4" t="s">
        <v>28</v>
      </c>
      <c r="P486" s="18" t="s">
        <v>350</v>
      </c>
      <c r="Q486" s="5">
        <f t="shared" si="28"/>
        <v>5.27</v>
      </c>
      <c r="R486" s="5">
        <f t="shared" si="29"/>
        <v>5.9550000000000001</v>
      </c>
      <c r="S486" s="5">
        <f t="shared" si="30"/>
        <v>2.84</v>
      </c>
      <c r="T486" s="23">
        <f>('Investor-Inputs'!$G$19 * Q486) + ('Investor-Inputs'!$J$19 * R486) + ('Investor-Inputs'!$N$19 * S486)</f>
        <v>30.56</v>
      </c>
      <c r="U486" s="27">
        <f t="shared" si="31"/>
        <v>514</v>
      </c>
    </row>
    <row r="487" spans="3:21" x14ac:dyDescent="0.25">
      <c r="C487" s="2" t="s">
        <v>230</v>
      </c>
      <c r="D487" s="2">
        <v>5</v>
      </c>
      <c r="E487" s="2" t="s">
        <v>14</v>
      </c>
      <c r="F487" s="2" t="s">
        <v>228</v>
      </c>
      <c r="G487" s="3">
        <v>5.41</v>
      </c>
      <c r="H487" s="3">
        <v>5.31</v>
      </c>
      <c r="I487" s="2"/>
      <c r="J487" s="2"/>
      <c r="K487" s="2"/>
      <c r="L487" s="20"/>
      <c r="M487" s="3">
        <v>0.19</v>
      </c>
      <c r="N487" s="2" t="s">
        <v>229</v>
      </c>
      <c r="O487" s="4" t="s">
        <v>28</v>
      </c>
      <c r="P487" s="18" t="s">
        <v>350</v>
      </c>
      <c r="Q487" s="5">
        <f t="shared" si="28"/>
        <v>0</v>
      </c>
      <c r="R487" s="5">
        <f t="shared" si="29"/>
        <v>0</v>
      </c>
      <c r="S487" s="5">
        <f t="shared" si="30"/>
        <v>9.5000000000000001E-2</v>
      </c>
      <c r="T487" s="23">
        <f>('Investor-Inputs'!$G$19 * Q487) + ('Investor-Inputs'!$J$19 * R487) + ('Investor-Inputs'!$N$19 * S487)</f>
        <v>9.5000000000000001E-2</v>
      </c>
      <c r="U487" s="27">
        <f t="shared" si="31"/>
        <v>585</v>
      </c>
    </row>
    <row r="488" spans="3:21" x14ac:dyDescent="0.25">
      <c r="C488" s="2" t="s">
        <v>231</v>
      </c>
      <c r="D488" s="2">
        <v>5</v>
      </c>
      <c r="E488" s="2" t="s">
        <v>14</v>
      </c>
      <c r="F488" s="2" t="s">
        <v>228</v>
      </c>
      <c r="G488" s="3">
        <v>5.47</v>
      </c>
      <c r="H488" s="3">
        <v>5.37</v>
      </c>
      <c r="I488" s="3">
        <v>6.32</v>
      </c>
      <c r="J488" s="3">
        <v>6.02</v>
      </c>
      <c r="K488" s="3">
        <v>5.61</v>
      </c>
      <c r="L488" s="21">
        <v>6.03</v>
      </c>
      <c r="M488" s="3">
        <v>0.14000000000000001</v>
      </c>
      <c r="N488" s="2" t="s">
        <v>229</v>
      </c>
      <c r="O488" s="4" t="s">
        <v>28</v>
      </c>
      <c r="P488" s="18" t="s">
        <v>350</v>
      </c>
      <c r="Q488" s="5">
        <f t="shared" si="28"/>
        <v>5.3330000000000002</v>
      </c>
      <c r="R488" s="5">
        <f t="shared" si="29"/>
        <v>6.0250000000000004</v>
      </c>
      <c r="S488" s="5">
        <f t="shared" si="30"/>
        <v>2.875</v>
      </c>
      <c r="T488" s="23">
        <f>('Investor-Inputs'!$G$19 * Q488) + ('Investor-Inputs'!$J$19 * R488) + ('Investor-Inputs'!$N$19 * S488)</f>
        <v>30.923999999999999</v>
      </c>
      <c r="U488" s="27">
        <f t="shared" si="31"/>
        <v>512</v>
      </c>
    </row>
    <row r="489" spans="3:21" x14ac:dyDescent="0.25">
      <c r="C489" s="2" t="s">
        <v>232</v>
      </c>
      <c r="D489" s="2">
        <v>4</v>
      </c>
      <c r="E489" s="2" t="s">
        <v>14</v>
      </c>
      <c r="F489" s="2" t="s">
        <v>228</v>
      </c>
      <c r="G489" s="3">
        <v>5.34</v>
      </c>
      <c r="H489" s="3">
        <v>5.25</v>
      </c>
      <c r="I489" s="3">
        <v>6.18</v>
      </c>
      <c r="J489" s="3">
        <v>5.88</v>
      </c>
      <c r="K489" s="3">
        <v>5.48</v>
      </c>
      <c r="L489" s="21">
        <v>5.9</v>
      </c>
      <c r="M489" s="3">
        <v>0.15</v>
      </c>
      <c r="N489" s="2" t="s">
        <v>229</v>
      </c>
      <c r="O489" s="4" t="s">
        <v>17</v>
      </c>
      <c r="P489" s="18" t="s">
        <v>350</v>
      </c>
      <c r="Q489" s="5">
        <f t="shared" si="28"/>
        <v>5.2119999999999997</v>
      </c>
      <c r="R489" s="5">
        <f t="shared" si="29"/>
        <v>5.8900000000000006</v>
      </c>
      <c r="S489" s="5">
        <f t="shared" si="30"/>
        <v>2.8150000000000004</v>
      </c>
      <c r="T489" s="23">
        <f>('Investor-Inputs'!$G$19 * Q489) + ('Investor-Inputs'!$J$19 * R489) + ('Investor-Inputs'!$N$19 * S489)</f>
        <v>30.231000000000002</v>
      </c>
      <c r="U489" s="27">
        <f t="shared" si="31"/>
        <v>526</v>
      </c>
    </row>
    <row r="490" spans="3:21" x14ac:dyDescent="0.25">
      <c r="C490" s="2" t="s">
        <v>233</v>
      </c>
      <c r="D490" s="2">
        <v>4</v>
      </c>
      <c r="E490" s="2" t="s">
        <v>14</v>
      </c>
      <c r="F490" s="2" t="s">
        <v>228</v>
      </c>
      <c r="G490" s="3">
        <v>5.41</v>
      </c>
      <c r="H490" s="3">
        <v>5.34</v>
      </c>
      <c r="I490" s="3">
        <v>6.19</v>
      </c>
      <c r="J490" s="3">
        <v>5.92</v>
      </c>
      <c r="K490" s="3">
        <v>5.47</v>
      </c>
      <c r="L490" s="21">
        <v>5.91</v>
      </c>
      <c r="M490" s="3">
        <v>0.09</v>
      </c>
      <c r="N490" s="2" t="s">
        <v>229</v>
      </c>
      <c r="O490" s="4" t="s">
        <v>17</v>
      </c>
      <c r="P490" s="18" t="s">
        <v>350</v>
      </c>
      <c r="Q490" s="5">
        <f t="shared" si="28"/>
        <v>5.2110000000000003</v>
      </c>
      <c r="R490" s="5">
        <f t="shared" si="29"/>
        <v>5.915</v>
      </c>
      <c r="S490" s="5">
        <f t="shared" si="30"/>
        <v>2.78</v>
      </c>
      <c r="T490" s="23">
        <f>('Investor-Inputs'!$G$19 * Q490) + ('Investor-Inputs'!$J$19 * R490) + ('Investor-Inputs'!$N$19 * S490)</f>
        <v>30.243000000000002</v>
      </c>
      <c r="U490" s="27">
        <f t="shared" si="31"/>
        <v>524</v>
      </c>
    </row>
    <row r="491" spans="3:21" x14ac:dyDescent="0.25">
      <c r="C491" s="2" t="s">
        <v>234</v>
      </c>
      <c r="D491" s="2">
        <v>4</v>
      </c>
      <c r="E491" s="2" t="s">
        <v>14</v>
      </c>
      <c r="F491" s="2" t="s">
        <v>228</v>
      </c>
      <c r="G491" s="3">
        <v>5.34</v>
      </c>
      <c r="H491" s="3">
        <v>5.25</v>
      </c>
      <c r="I491" s="3">
        <v>6.18</v>
      </c>
      <c r="J491" s="3">
        <v>5.88</v>
      </c>
      <c r="K491" s="3">
        <v>5.47</v>
      </c>
      <c r="L491" s="21">
        <v>5.89</v>
      </c>
      <c r="M491" s="3">
        <v>0.18</v>
      </c>
      <c r="N491" s="2" t="s">
        <v>229</v>
      </c>
      <c r="O491" s="4" t="s">
        <v>17</v>
      </c>
      <c r="P491" s="18" t="s">
        <v>350</v>
      </c>
      <c r="Q491" s="5">
        <f t="shared" si="28"/>
        <v>5.2069999999999999</v>
      </c>
      <c r="R491" s="5">
        <f t="shared" si="29"/>
        <v>5.8849999999999998</v>
      </c>
      <c r="S491" s="5">
        <f t="shared" si="30"/>
        <v>2.8249999999999997</v>
      </c>
      <c r="T491" s="23">
        <f>('Investor-Inputs'!$G$19 * Q491) + ('Investor-Inputs'!$J$19 * R491) + ('Investor-Inputs'!$N$19 * S491)</f>
        <v>30.215999999999998</v>
      </c>
      <c r="U491" s="27">
        <f t="shared" si="31"/>
        <v>530</v>
      </c>
    </row>
    <row r="492" spans="3:21" x14ac:dyDescent="0.25">
      <c r="C492" s="2" t="s">
        <v>235</v>
      </c>
      <c r="D492" s="2">
        <v>4</v>
      </c>
      <c r="E492" s="2" t="s">
        <v>14</v>
      </c>
      <c r="F492" s="2" t="s">
        <v>228</v>
      </c>
      <c r="G492" s="3">
        <v>5.35</v>
      </c>
      <c r="H492" s="3">
        <v>5.26</v>
      </c>
      <c r="I492" s="3">
        <v>6.2</v>
      </c>
      <c r="J492" s="3">
        <v>5.9</v>
      </c>
      <c r="K492" s="3">
        <v>5.49</v>
      </c>
      <c r="L492" s="21">
        <v>5.91</v>
      </c>
      <c r="M492" s="3">
        <v>0.12</v>
      </c>
      <c r="N492" s="2" t="s">
        <v>229</v>
      </c>
      <c r="O492" s="4" t="s">
        <v>17</v>
      </c>
      <c r="P492" s="18" t="s">
        <v>350</v>
      </c>
      <c r="Q492" s="5">
        <f t="shared" si="28"/>
        <v>5.2250000000000005</v>
      </c>
      <c r="R492" s="5">
        <f t="shared" si="29"/>
        <v>5.9050000000000002</v>
      </c>
      <c r="S492" s="5">
        <f t="shared" si="30"/>
        <v>2.8050000000000002</v>
      </c>
      <c r="T492" s="23">
        <f>('Investor-Inputs'!$G$19 * Q492) + ('Investor-Inputs'!$J$19 * R492) + ('Investor-Inputs'!$N$19 * S492)</f>
        <v>30.29</v>
      </c>
      <c r="U492" s="27">
        <f t="shared" si="31"/>
        <v>520</v>
      </c>
    </row>
    <row r="493" spans="3:21" x14ac:dyDescent="0.25">
      <c r="C493" s="2" t="s">
        <v>236</v>
      </c>
      <c r="D493" s="2">
        <v>4</v>
      </c>
      <c r="E493" s="2" t="s">
        <v>14</v>
      </c>
      <c r="F493" s="2" t="s">
        <v>228</v>
      </c>
      <c r="G493" s="3">
        <v>5.34</v>
      </c>
      <c r="H493" s="3">
        <v>5.25</v>
      </c>
      <c r="I493" s="3">
        <v>6.17</v>
      </c>
      <c r="J493" s="3">
        <v>5.88</v>
      </c>
      <c r="K493" s="3">
        <v>5.46</v>
      </c>
      <c r="L493" s="21">
        <v>5.89</v>
      </c>
      <c r="M493" s="3">
        <v>0.2</v>
      </c>
      <c r="N493" s="2" t="s">
        <v>229</v>
      </c>
      <c r="O493" s="4" t="s">
        <v>17</v>
      </c>
      <c r="P493" s="18" t="s">
        <v>350</v>
      </c>
      <c r="Q493" s="5">
        <f t="shared" si="28"/>
        <v>5.1980000000000004</v>
      </c>
      <c r="R493" s="5">
        <f t="shared" si="29"/>
        <v>5.8849999999999998</v>
      </c>
      <c r="S493" s="5">
        <f t="shared" si="30"/>
        <v>2.83</v>
      </c>
      <c r="T493" s="23">
        <f>('Investor-Inputs'!$G$19 * Q493) + ('Investor-Inputs'!$J$19 * R493) + ('Investor-Inputs'!$N$19 * S493)</f>
        <v>30.194000000000003</v>
      </c>
      <c r="U493" s="27">
        <f t="shared" si="31"/>
        <v>532</v>
      </c>
    </row>
    <row r="494" spans="3:21" x14ac:dyDescent="0.25">
      <c r="C494" s="2" t="s">
        <v>237</v>
      </c>
      <c r="D494" s="2">
        <v>4</v>
      </c>
      <c r="E494" s="2" t="s">
        <v>14</v>
      </c>
      <c r="F494" s="2" t="s">
        <v>228</v>
      </c>
      <c r="G494" s="3">
        <v>5.34</v>
      </c>
      <c r="H494" s="3">
        <v>5.24</v>
      </c>
      <c r="I494" s="3">
        <v>6.18</v>
      </c>
      <c r="J494" s="3">
        <v>5.88</v>
      </c>
      <c r="K494" s="3">
        <v>5.49</v>
      </c>
      <c r="L494" s="21">
        <v>5.9</v>
      </c>
      <c r="M494" s="3">
        <v>0.2</v>
      </c>
      <c r="N494" s="2" t="s">
        <v>229</v>
      </c>
      <c r="O494" s="4" t="s">
        <v>17</v>
      </c>
      <c r="P494" s="18" t="s">
        <v>350</v>
      </c>
      <c r="Q494" s="5">
        <f t="shared" si="28"/>
        <v>5.2170000000000005</v>
      </c>
      <c r="R494" s="5">
        <f t="shared" si="29"/>
        <v>5.8900000000000006</v>
      </c>
      <c r="S494" s="5">
        <f t="shared" si="30"/>
        <v>2.8450000000000002</v>
      </c>
      <c r="T494" s="23">
        <f>('Investor-Inputs'!$G$19 * Q494) + ('Investor-Inputs'!$J$19 * R494) + ('Investor-Inputs'!$N$19 * S494)</f>
        <v>30.276000000000003</v>
      </c>
      <c r="U494" s="27">
        <f t="shared" si="31"/>
        <v>522</v>
      </c>
    </row>
    <row r="495" spans="3:21" x14ac:dyDescent="0.25">
      <c r="C495" s="2" t="s">
        <v>238</v>
      </c>
      <c r="D495" s="2">
        <v>4</v>
      </c>
      <c r="E495" s="2" t="s">
        <v>14</v>
      </c>
      <c r="F495" s="2" t="s">
        <v>228</v>
      </c>
      <c r="G495" s="3">
        <v>5.27</v>
      </c>
      <c r="H495" s="3">
        <v>5.16</v>
      </c>
      <c r="I495" s="3">
        <v>6.17</v>
      </c>
      <c r="J495" s="3">
        <v>5.86</v>
      </c>
      <c r="K495" s="3">
        <v>5.48</v>
      </c>
      <c r="L495" s="21">
        <v>5.88</v>
      </c>
      <c r="M495" s="3">
        <v>0.23</v>
      </c>
      <c r="N495" s="2" t="s">
        <v>229</v>
      </c>
      <c r="O495" s="4" t="s">
        <v>17</v>
      </c>
      <c r="P495" s="18" t="s">
        <v>350</v>
      </c>
      <c r="Q495" s="5">
        <f t="shared" si="28"/>
        <v>5.2080000000000002</v>
      </c>
      <c r="R495" s="5">
        <f t="shared" si="29"/>
        <v>5.87</v>
      </c>
      <c r="S495" s="5">
        <f t="shared" si="30"/>
        <v>2.8550000000000004</v>
      </c>
      <c r="T495" s="23">
        <f>('Investor-Inputs'!$G$19 * Q495) + ('Investor-Inputs'!$J$19 * R495) + ('Investor-Inputs'!$N$19 * S495)</f>
        <v>30.219000000000001</v>
      </c>
      <c r="U495" s="27">
        <f t="shared" si="31"/>
        <v>528</v>
      </c>
    </row>
    <row r="496" spans="3:21" x14ac:dyDescent="0.25">
      <c r="C496" s="2" t="s">
        <v>239</v>
      </c>
      <c r="D496" s="2">
        <v>4</v>
      </c>
      <c r="E496" s="2" t="s">
        <v>14</v>
      </c>
      <c r="F496" s="2" t="s">
        <v>228</v>
      </c>
      <c r="G496" s="3">
        <v>5.36</v>
      </c>
      <c r="H496" s="3">
        <v>5.27</v>
      </c>
      <c r="I496" s="3">
        <v>6.21</v>
      </c>
      <c r="J496" s="3">
        <v>5.91</v>
      </c>
      <c r="K496" s="3">
        <v>5.5</v>
      </c>
      <c r="L496" s="21">
        <v>5.92</v>
      </c>
      <c r="M496" s="3">
        <v>0.18</v>
      </c>
      <c r="N496" s="2" t="s">
        <v>229</v>
      </c>
      <c r="O496" s="4" t="s">
        <v>17</v>
      </c>
      <c r="P496" s="18" t="s">
        <v>350</v>
      </c>
      <c r="Q496" s="5">
        <f t="shared" si="28"/>
        <v>5.234</v>
      </c>
      <c r="R496" s="5">
        <f t="shared" si="29"/>
        <v>5.915</v>
      </c>
      <c r="S496" s="5">
        <f t="shared" si="30"/>
        <v>2.84</v>
      </c>
      <c r="T496" s="23">
        <f>('Investor-Inputs'!$G$19 * Q496) + ('Investor-Inputs'!$J$19 * R496) + ('Investor-Inputs'!$N$19 * S496)</f>
        <v>30.372</v>
      </c>
      <c r="U496" s="27">
        <f t="shared" si="31"/>
        <v>518</v>
      </c>
    </row>
    <row r="497" spans="3:21" x14ac:dyDescent="0.25">
      <c r="C497" s="2" t="s">
        <v>240</v>
      </c>
      <c r="D497" s="2">
        <v>5</v>
      </c>
      <c r="E497" s="2" t="s">
        <v>14</v>
      </c>
      <c r="F497" s="2" t="s">
        <v>241</v>
      </c>
      <c r="G497" s="3">
        <v>4.33</v>
      </c>
      <c r="H497" s="3">
        <v>3.29</v>
      </c>
      <c r="I497" s="3">
        <v>7.47</v>
      </c>
      <c r="J497" s="3">
        <v>6.92</v>
      </c>
      <c r="K497" s="3">
        <v>6.62</v>
      </c>
      <c r="L497" s="21">
        <v>6.92</v>
      </c>
      <c r="M497" s="3">
        <v>0.59</v>
      </c>
      <c r="N497" s="2" t="s">
        <v>242</v>
      </c>
      <c r="O497" s="4" t="s">
        <v>28</v>
      </c>
      <c r="P497" s="18" t="s">
        <v>350</v>
      </c>
      <c r="Q497" s="5">
        <f t="shared" si="28"/>
        <v>6.298</v>
      </c>
      <c r="R497" s="5">
        <f t="shared" si="29"/>
        <v>6.92</v>
      </c>
      <c r="S497" s="5">
        <f t="shared" si="30"/>
        <v>3.605</v>
      </c>
      <c r="T497" s="23">
        <f>('Investor-Inputs'!$G$19 * Q497) + ('Investor-Inputs'!$J$19 * R497) + ('Investor-Inputs'!$N$19 * S497)</f>
        <v>36.338999999999992</v>
      </c>
      <c r="U497" s="27">
        <f t="shared" si="31"/>
        <v>349</v>
      </c>
    </row>
    <row r="498" spans="3:21" x14ac:dyDescent="0.25">
      <c r="C498" s="2" t="s">
        <v>243</v>
      </c>
      <c r="D498" s="2">
        <v>4</v>
      </c>
      <c r="E498" s="2" t="s">
        <v>14</v>
      </c>
      <c r="F498" s="2" t="s">
        <v>241</v>
      </c>
      <c r="G498" s="3">
        <v>3.26</v>
      </c>
      <c r="H498" s="3">
        <v>3.89</v>
      </c>
      <c r="I498" s="3">
        <v>6.77</v>
      </c>
      <c r="J498" s="3">
        <v>6.42</v>
      </c>
      <c r="K498" s="3">
        <v>5.75</v>
      </c>
      <c r="L498" s="21">
        <v>6.37</v>
      </c>
      <c r="M498" s="3">
        <v>0.63</v>
      </c>
      <c r="N498" s="2" t="s">
        <v>171</v>
      </c>
      <c r="O498" s="4" t="s">
        <v>17</v>
      </c>
      <c r="P498" s="18" t="s">
        <v>350</v>
      </c>
      <c r="Q498" s="5">
        <f t="shared" si="28"/>
        <v>5.5830000000000002</v>
      </c>
      <c r="R498" s="5">
        <f t="shared" si="29"/>
        <v>6.3949999999999996</v>
      </c>
      <c r="S498" s="5">
        <f t="shared" si="30"/>
        <v>3.19</v>
      </c>
      <c r="T498" s="23">
        <f>('Investor-Inputs'!$G$19 * Q498) + ('Investor-Inputs'!$J$19 * R498) + ('Investor-Inputs'!$N$19 * S498)</f>
        <v>32.728999999999999</v>
      </c>
      <c r="U498" s="27">
        <f t="shared" si="31"/>
        <v>482</v>
      </c>
    </row>
    <row r="499" spans="3:21" x14ac:dyDescent="0.25">
      <c r="C499" s="2" t="s">
        <v>244</v>
      </c>
      <c r="D499" s="2">
        <v>4</v>
      </c>
      <c r="E499" s="2" t="s">
        <v>14</v>
      </c>
      <c r="F499" s="2" t="s">
        <v>241</v>
      </c>
      <c r="G499" s="3">
        <v>1.87</v>
      </c>
      <c r="H499" s="3">
        <v>1.51</v>
      </c>
      <c r="I499" s="3">
        <v>6.18</v>
      </c>
      <c r="J499" s="3">
        <v>5.51</v>
      </c>
      <c r="K499" s="3">
        <v>5.45</v>
      </c>
      <c r="L499" s="21">
        <v>5.8</v>
      </c>
      <c r="M499" s="3">
        <v>0.97</v>
      </c>
      <c r="N499" s="2" t="s">
        <v>171</v>
      </c>
      <c r="O499" s="4" t="s">
        <v>17</v>
      </c>
      <c r="P499" s="18" t="s">
        <v>350</v>
      </c>
      <c r="Q499" s="5">
        <f t="shared" si="28"/>
        <v>5.1970000000000001</v>
      </c>
      <c r="R499" s="5">
        <f t="shared" si="29"/>
        <v>5.6549999999999994</v>
      </c>
      <c r="S499" s="5">
        <f t="shared" si="30"/>
        <v>3.21</v>
      </c>
      <c r="T499" s="23">
        <f>('Investor-Inputs'!$G$19 * Q499) + ('Investor-Inputs'!$J$19 * R499) + ('Investor-Inputs'!$N$19 * S499)</f>
        <v>30.111000000000001</v>
      </c>
      <c r="U499" s="27">
        <f t="shared" si="31"/>
        <v>538</v>
      </c>
    </row>
    <row r="500" spans="3:21" x14ac:dyDescent="0.25">
      <c r="C500" s="2" t="s">
        <v>245</v>
      </c>
      <c r="D500" s="2">
        <v>4</v>
      </c>
      <c r="E500" s="2" t="s">
        <v>14</v>
      </c>
      <c r="F500" s="2" t="s">
        <v>241</v>
      </c>
      <c r="G500" s="3">
        <v>5.38</v>
      </c>
      <c r="H500" s="3">
        <v>4.91</v>
      </c>
      <c r="I500" s="3">
        <v>6.32</v>
      </c>
      <c r="J500" s="3">
        <v>6.35</v>
      </c>
      <c r="K500" s="3">
        <v>4.92</v>
      </c>
      <c r="L500" s="21">
        <v>5.9</v>
      </c>
      <c r="M500" s="3">
        <v>1.02</v>
      </c>
      <c r="N500" s="2" t="s">
        <v>180</v>
      </c>
      <c r="O500" s="4" t="s">
        <v>24</v>
      </c>
      <c r="P500" s="18" t="s">
        <v>350</v>
      </c>
      <c r="Q500" s="5">
        <f t="shared" si="28"/>
        <v>4.9880000000000004</v>
      </c>
      <c r="R500" s="5">
        <f t="shared" si="29"/>
        <v>6.125</v>
      </c>
      <c r="S500" s="5">
        <f t="shared" si="30"/>
        <v>2.9699999999999998</v>
      </c>
      <c r="T500" s="23">
        <f>('Investor-Inputs'!$G$19 * Q500) + ('Investor-Inputs'!$J$19 * R500) + ('Investor-Inputs'!$N$19 * S500)</f>
        <v>30.184000000000001</v>
      </c>
      <c r="U500" s="27">
        <f t="shared" si="31"/>
        <v>534</v>
      </c>
    </row>
    <row r="501" spans="3:21" x14ac:dyDescent="0.25">
      <c r="C501" s="2" t="s">
        <v>246</v>
      </c>
      <c r="D501" s="2">
        <v>5</v>
      </c>
      <c r="E501" s="2" t="s">
        <v>14</v>
      </c>
      <c r="F501" s="2" t="s">
        <v>241</v>
      </c>
      <c r="G501" s="3">
        <v>3.29</v>
      </c>
      <c r="H501" s="3">
        <v>2.44</v>
      </c>
      <c r="I501" s="3">
        <v>6.79</v>
      </c>
      <c r="J501" s="3">
        <v>6.19</v>
      </c>
      <c r="K501" s="3">
        <v>5.71</v>
      </c>
      <c r="L501" s="21">
        <v>6.33</v>
      </c>
      <c r="M501" s="3">
        <v>0.75</v>
      </c>
      <c r="N501" s="2" t="s">
        <v>171</v>
      </c>
      <c r="O501" s="4" t="s">
        <v>28</v>
      </c>
      <c r="P501" s="18" t="s">
        <v>350</v>
      </c>
      <c r="Q501" s="5">
        <f t="shared" si="28"/>
        <v>5.5709999999999997</v>
      </c>
      <c r="R501" s="5">
        <f t="shared" si="29"/>
        <v>6.26</v>
      </c>
      <c r="S501" s="5">
        <f t="shared" si="30"/>
        <v>3.23</v>
      </c>
      <c r="T501" s="23">
        <f>('Investor-Inputs'!$G$19 * Q501) + ('Investor-Inputs'!$J$19 * R501) + ('Investor-Inputs'!$N$19 * S501)</f>
        <v>32.463000000000001</v>
      </c>
      <c r="U501" s="27">
        <f t="shared" si="31"/>
        <v>490</v>
      </c>
    </row>
    <row r="502" spans="3:21" x14ac:dyDescent="0.25">
      <c r="C502" s="2" t="s">
        <v>247</v>
      </c>
      <c r="D502" s="2">
        <v>4</v>
      </c>
      <c r="E502" s="2" t="s">
        <v>14</v>
      </c>
      <c r="F502" s="2" t="s">
        <v>248</v>
      </c>
      <c r="G502" s="3">
        <v>4.74</v>
      </c>
      <c r="H502" s="3">
        <v>3.89</v>
      </c>
      <c r="I502" s="3">
        <v>6.99</v>
      </c>
      <c r="J502" s="3">
        <v>6.66</v>
      </c>
      <c r="K502" s="3">
        <v>5.98</v>
      </c>
      <c r="L502" s="21">
        <v>6.57</v>
      </c>
      <c r="M502" s="3">
        <v>0.97</v>
      </c>
      <c r="N502" s="2" t="s">
        <v>171</v>
      </c>
      <c r="O502" s="4" t="s">
        <v>17</v>
      </c>
      <c r="P502" s="18" t="s">
        <v>350</v>
      </c>
      <c r="Q502" s="5">
        <f t="shared" si="28"/>
        <v>5.7860000000000005</v>
      </c>
      <c r="R502" s="5">
        <f t="shared" si="29"/>
        <v>6.6150000000000002</v>
      </c>
      <c r="S502" s="5">
        <f t="shared" si="30"/>
        <v>3.4750000000000001</v>
      </c>
      <c r="T502" s="23">
        <f>('Investor-Inputs'!$G$19 * Q502) + ('Investor-Inputs'!$J$19 * R502) + ('Investor-Inputs'!$N$19 * S502)</f>
        <v>34.063000000000002</v>
      </c>
      <c r="U502" s="27">
        <f t="shared" si="31"/>
        <v>420</v>
      </c>
    </row>
    <row r="503" spans="3:21" x14ac:dyDescent="0.25">
      <c r="C503" s="2" t="s">
        <v>249</v>
      </c>
      <c r="D503" s="2">
        <v>4</v>
      </c>
      <c r="E503" s="2" t="s">
        <v>14</v>
      </c>
      <c r="F503" s="2" t="s">
        <v>248</v>
      </c>
      <c r="G503" s="3">
        <v>4.74</v>
      </c>
      <c r="H503" s="3">
        <v>4.1399999999999997</v>
      </c>
      <c r="I503" s="3">
        <v>6.87</v>
      </c>
      <c r="J503" s="3">
        <v>6.5</v>
      </c>
      <c r="K503" s="3">
        <v>5.67</v>
      </c>
      <c r="L503" s="21">
        <v>6.3</v>
      </c>
      <c r="M503" s="3">
        <v>0.67</v>
      </c>
      <c r="N503" s="2" t="s">
        <v>180</v>
      </c>
      <c r="O503" s="4" t="s">
        <v>24</v>
      </c>
      <c r="P503" s="18" t="s">
        <v>350</v>
      </c>
      <c r="Q503" s="5">
        <f t="shared" si="28"/>
        <v>5.5830000000000002</v>
      </c>
      <c r="R503" s="5">
        <f t="shared" si="29"/>
        <v>6.4</v>
      </c>
      <c r="S503" s="5">
        <f t="shared" si="30"/>
        <v>3.17</v>
      </c>
      <c r="T503" s="23">
        <f>('Investor-Inputs'!$G$19 * Q503) + ('Investor-Inputs'!$J$19 * R503) + ('Investor-Inputs'!$N$19 * S503)</f>
        <v>32.719000000000001</v>
      </c>
      <c r="U503" s="27">
        <f t="shared" si="31"/>
        <v>484</v>
      </c>
    </row>
    <row r="504" spans="3:21" x14ac:dyDescent="0.25">
      <c r="C504" s="2" t="s">
        <v>250</v>
      </c>
      <c r="D504" s="2">
        <v>4</v>
      </c>
      <c r="E504" s="2" t="s">
        <v>14</v>
      </c>
      <c r="F504" s="2" t="s">
        <v>248</v>
      </c>
      <c r="G504" s="3">
        <v>4.99</v>
      </c>
      <c r="H504" s="3">
        <v>4.0199999999999996</v>
      </c>
      <c r="I504" s="3">
        <v>7.17</v>
      </c>
      <c r="J504" s="3">
        <v>6.88</v>
      </c>
      <c r="K504" s="3">
        <v>5.61</v>
      </c>
      <c r="L504" s="21">
        <v>6.58</v>
      </c>
      <c r="M504" s="3">
        <v>0.59</v>
      </c>
      <c r="N504" s="2" t="s">
        <v>171</v>
      </c>
      <c r="O504" s="4" t="s">
        <v>28</v>
      </c>
      <c r="P504" s="18" t="s">
        <v>350</v>
      </c>
      <c r="Q504" s="5">
        <f t="shared" si="28"/>
        <v>5.673</v>
      </c>
      <c r="R504" s="5">
        <f t="shared" si="29"/>
        <v>6.73</v>
      </c>
      <c r="S504" s="5">
        <f t="shared" si="30"/>
        <v>3.1</v>
      </c>
      <c r="T504" s="23">
        <f>('Investor-Inputs'!$G$19 * Q504) + ('Investor-Inputs'!$J$19 * R504) + ('Investor-Inputs'!$N$19 * S504)</f>
        <v>33.579000000000001</v>
      </c>
      <c r="U504" s="27">
        <f t="shared" si="31"/>
        <v>464</v>
      </c>
    </row>
    <row r="505" spans="3:21" x14ac:dyDescent="0.25">
      <c r="C505" s="2" t="s">
        <v>251</v>
      </c>
      <c r="D505" s="2">
        <v>5</v>
      </c>
      <c r="E505" s="2" t="s">
        <v>14</v>
      </c>
      <c r="F505" s="2" t="s">
        <v>248</v>
      </c>
      <c r="G505" s="3">
        <v>5.91</v>
      </c>
      <c r="H505" s="3">
        <v>5.31</v>
      </c>
      <c r="I505" s="3">
        <v>6.95</v>
      </c>
      <c r="J505" s="3">
        <v>6.91</v>
      </c>
      <c r="K505" s="3">
        <v>5.53</v>
      </c>
      <c r="L505" s="21">
        <v>6.48</v>
      </c>
      <c r="M505" s="3">
        <v>0.56000000000000005</v>
      </c>
      <c r="N505" s="2" t="s">
        <v>180</v>
      </c>
      <c r="O505" s="4" t="s">
        <v>17</v>
      </c>
      <c r="P505" s="18" t="s">
        <v>350</v>
      </c>
      <c r="Q505" s="5">
        <f t="shared" si="28"/>
        <v>5.5449999999999999</v>
      </c>
      <c r="R505" s="5">
        <f t="shared" si="29"/>
        <v>6.6950000000000003</v>
      </c>
      <c r="S505" s="5">
        <f t="shared" si="30"/>
        <v>3.0449999999999999</v>
      </c>
      <c r="T505" s="23">
        <f>('Investor-Inputs'!$G$19 * Q505) + ('Investor-Inputs'!$J$19 * R505) + ('Investor-Inputs'!$N$19 * S505)</f>
        <v>33.07</v>
      </c>
      <c r="U505" s="27">
        <f t="shared" si="31"/>
        <v>478</v>
      </c>
    </row>
    <row r="506" spans="3:21" x14ac:dyDescent="0.25">
      <c r="C506" s="2" t="s">
        <v>252</v>
      </c>
      <c r="D506" s="2">
        <v>4</v>
      </c>
      <c r="E506" s="2" t="s">
        <v>14</v>
      </c>
      <c r="F506" s="2" t="s">
        <v>248</v>
      </c>
      <c r="G506" s="3">
        <v>5.8</v>
      </c>
      <c r="H506" s="3">
        <v>5.17</v>
      </c>
      <c r="I506" s="3">
        <v>7.38</v>
      </c>
      <c r="J506" s="3">
        <v>7.44</v>
      </c>
      <c r="K506" s="3">
        <v>6.06</v>
      </c>
      <c r="L506" s="21">
        <v>6.93</v>
      </c>
      <c r="M506" s="3">
        <v>0.75</v>
      </c>
      <c r="N506" s="2" t="s">
        <v>171</v>
      </c>
      <c r="O506" s="4" t="s">
        <v>17</v>
      </c>
      <c r="P506" s="18" t="s">
        <v>350</v>
      </c>
      <c r="Q506" s="5">
        <f t="shared" si="28"/>
        <v>5.9819999999999993</v>
      </c>
      <c r="R506" s="5">
        <f t="shared" si="29"/>
        <v>7.1850000000000005</v>
      </c>
      <c r="S506" s="5">
        <f t="shared" si="30"/>
        <v>3.4049999999999998</v>
      </c>
      <c r="T506" s="23">
        <f>('Investor-Inputs'!$G$19 * Q506) + ('Investor-Inputs'!$J$19 * R506) + ('Investor-Inputs'!$N$19 * S506)</f>
        <v>35.721000000000004</v>
      </c>
      <c r="U506" s="27">
        <f t="shared" si="31"/>
        <v>363</v>
      </c>
    </row>
    <row r="507" spans="3:21" x14ac:dyDescent="0.25">
      <c r="C507" s="2" t="s">
        <v>253</v>
      </c>
      <c r="D507" s="2">
        <v>5</v>
      </c>
      <c r="E507" s="2" t="s">
        <v>14</v>
      </c>
      <c r="F507" s="2" t="s">
        <v>248</v>
      </c>
      <c r="G507" s="3">
        <v>5.28</v>
      </c>
      <c r="H507" s="3">
        <v>4.5199999999999996</v>
      </c>
      <c r="I507" s="3">
        <v>7.29</v>
      </c>
      <c r="J507" s="3">
        <v>6.84</v>
      </c>
      <c r="K507" s="3">
        <v>6.41</v>
      </c>
      <c r="L507" s="21">
        <v>6.89</v>
      </c>
      <c r="M507" s="3">
        <v>0.56000000000000005</v>
      </c>
      <c r="N507" s="2" t="s">
        <v>171</v>
      </c>
      <c r="O507" s="4" t="s">
        <v>28</v>
      </c>
      <c r="P507" s="18" t="s">
        <v>350</v>
      </c>
      <c r="Q507" s="5">
        <f t="shared" si="28"/>
        <v>6.1210000000000004</v>
      </c>
      <c r="R507" s="5">
        <f t="shared" si="29"/>
        <v>6.8650000000000002</v>
      </c>
      <c r="S507" s="5">
        <f t="shared" si="30"/>
        <v>3.4850000000000003</v>
      </c>
      <c r="T507" s="23">
        <f>('Investor-Inputs'!$G$19 * Q507) + ('Investor-Inputs'!$J$19 * R507) + ('Investor-Inputs'!$N$19 * S507)</f>
        <v>35.578000000000003</v>
      </c>
      <c r="U507" s="27">
        <f t="shared" si="31"/>
        <v>377</v>
      </c>
    </row>
    <row r="508" spans="3:21" x14ac:dyDescent="0.25">
      <c r="C508" s="2" t="s">
        <v>254</v>
      </c>
      <c r="D508" s="2">
        <v>4</v>
      </c>
      <c r="E508" s="2" t="s">
        <v>14</v>
      </c>
      <c r="F508" s="2" t="s">
        <v>248</v>
      </c>
      <c r="G508" s="3">
        <v>4.59</v>
      </c>
      <c r="H508" s="3">
        <v>3.63</v>
      </c>
      <c r="I508" s="3">
        <v>7.03</v>
      </c>
      <c r="J508" s="3">
        <v>6.57</v>
      </c>
      <c r="K508" s="3">
        <v>6.05</v>
      </c>
      <c r="L508" s="21">
        <v>6.55</v>
      </c>
      <c r="M508" s="3">
        <v>0.7</v>
      </c>
      <c r="N508" s="2" t="s">
        <v>171</v>
      </c>
      <c r="O508" s="4" t="s">
        <v>17</v>
      </c>
      <c r="P508" s="18" t="s">
        <v>350</v>
      </c>
      <c r="Q508" s="5">
        <f t="shared" si="28"/>
        <v>5.8369999999999997</v>
      </c>
      <c r="R508" s="5">
        <f t="shared" si="29"/>
        <v>6.5600000000000005</v>
      </c>
      <c r="S508" s="5">
        <f t="shared" si="30"/>
        <v>3.375</v>
      </c>
      <c r="T508" s="23">
        <f>('Investor-Inputs'!$G$19 * Q508) + ('Investor-Inputs'!$J$19 * R508) + ('Investor-Inputs'!$N$19 * S508)</f>
        <v>34.006</v>
      </c>
      <c r="U508" s="27">
        <f t="shared" si="31"/>
        <v>424</v>
      </c>
    </row>
    <row r="509" spans="3:21" x14ac:dyDescent="0.25">
      <c r="C509" s="2" t="s">
        <v>255</v>
      </c>
      <c r="D509" s="2">
        <v>4</v>
      </c>
      <c r="E509" s="2" t="s">
        <v>14</v>
      </c>
      <c r="F509" s="2" t="s">
        <v>248</v>
      </c>
      <c r="G509" s="3">
        <v>4.4000000000000004</v>
      </c>
      <c r="H509" s="3">
        <v>3.52</v>
      </c>
      <c r="I509" s="3">
        <v>7.09</v>
      </c>
      <c r="J509" s="3">
        <v>6.6</v>
      </c>
      <c r="K509" s="3">
        <v>6.34</v>
      </c>
      <c r="L509" s="21">
        <v>6.71</v>
      </c>
      <c r="M509" s="3">
        <v>0.78</v>
      </c>
      <c r="N509" s="2" t="s">
        <v>171</v>
      </c>
      <c r="O509" s="4" t="s">
        <v>17</v>
      </c>
      <c r="P509" s="18" t="s">
        <v>350</v>
      </c>
      <c r="Q509" s="5">
        <f t="shared" si="28"/>
        <v>6.0060000000000002</v>
      </c>
      <c r="R509" s="5">
        <f t="shared" si="29"/>
        <v>6.6549999999999994</v>
      </c>
      <c r="S509" s="5">
        <f t="shared" si="30"/>
        <v>3.56</v>
      </c>
      <c r="T509" s="23">
        <f>('Investor-Inputs'!$G$19 * Q509) + ('Investor-Inputs'!$J$19 * R509) + ('Investor-Inputs'!$N$19 * S509)</f>
        <v>34.887999999999998</v>
      </c>
      <c r="U509" s="27">
        <f t="shared" si="31"/>
        <v>397</v>
      </c>
    </row>
    <row r="510" spans="3:21" x14ac:dyDescent="0.25">
      <c r="C510" s="2" t="s">
        <v>256</v>
      </c>
      <c r="D510" s="2">
        <v>4</v>
      </c>
      <c r="E510" s="2" t="s">
        <v>14</v>
      </c>
      <c r="F510" s="2" t="s">
        <v>257</v>
      </c>
      <c r="G510" s="3">
        <v>6.34</v>
      </c>
      <c r="H510" s="3">
        <v>5.65</v>
      </c>
      <c r="I510" s="3">
        <v>7.54</v>
      </c>
      <c r="J510" s="3">
        <v>7.32</v>
      </c>
      <c r="K510" s="3">
        <v>8.32</v>
      </c>
      <c r="L510" s="21">
        <v>7.46</v>
      </c>
      <c r="M510" s="3">
        <v>1.6</v>
      </c>
      <c r="N510" s="2" t="s">
        <v>242</v>
      </c>
      <c r="O510" s="4" t="s">
        <v>17</v>
      </c>
      <c r="P510" s="18" t="s">
        <v>350</v>
      </c>
      <c r="Q510" s="5">
        <f t="shared" si="28"/>
        <v>7.1760000000000002</v>
      </c>
      <c r="R510" s="5">
        <f t="shared" si="29"/>
        <v>7.3900000000000006</v>
      </c>
      <c r="S510" s="5">
        <f t="shared" si="30"/>
        <v>4.96</v>
      </c>
      <c r="T510" s="23">
        <f>('Investor-Inputs'!$G$19 * Q510) + ('Investor-Inputs'!$J$19 * R510) + ('Investor-Inputs'!$N$19 * S510)</f>
        <v>41.268000000000001</v>
      </c>
      <c r="U510" s="27">
        <f t="shared" si="31"/>
        <v>311</v>
      </c>
    </row>
    <row r="511" spans="3:21" x14ac:dyDescent="0.25">
      <c r="C511" s="2" t="s">
        <v>258</v>
      </c>
      <c r="D511" s="2">
        <v>4</v>
      </c>
      <c r="E511" s="2" t="s">
        <v>14</v>
      </c>
      <c r="F511" s="2" t="s">
        <v>257</v>
      </c>
      <c r="G511" s="3">
        <v>7.61</v>
      </c>
      <c r="H511" s="3">
        <v>6.71</v>
      </c>
      <c r="I511" s="3">
        <v>8.0399999999999991</v>
      </c>
      <c r="J511" s="3">
        <v>8.1</v>
      </c>
      <c r="K511" s="3">
        <v>7.26</v>
      </c>
      <c r="L511" s="21">
        <v>7.73</v>
      </c>
      <c r="M511" s="3">
        <v>1.37</v>
      </c>
      <c r="N511" s="2" t="s">
        <v>28</v>
      </c>
      <c r="O511" s="4" t="s">
        <v>17</v>
      </c>
      <c r="P511" s="18" t="s">
        <v>350</v>
      </c>
      <c r="Q511" s="5">
        <f t="shared" si="28"/>
        <v>6.8460000000000001</v>
      </c>
      <c r="R511" s="5">
        <f t="shared" si="29"/>
        <v>7.915</v>
      </c>
      <c r="S511" s="5">
        <f t="shared" si="30"/>
        <v>4.3149999999999995</v>
      </c>
      <c r="T511" s="23">
        <f>('Investor-Inputs'!$G$19 * Q511) + ('Investor-Inputs'!$J$19 * R511) + ('Investor-Inputs'!$N$19 * S511)</f>
        <v>40.683</v>
      </c>
      <c r="U511" s="27">
        <f t="shared" si="31"/>
        <v>319</v>
      </c>
    </row>
    <row r="512" spans="3:21" x14ac:dyDescent="0.25">
      <c r="C512" s="2" t="s">
        <v>259</v>
      </c>
      <c r="D512" s="2">
        <v>5</v>
      </c>
      <c r="E512" s="2" t="s">
        <v>14</v>
      </c>
      <c r="F512" s="2" t="s">
        <v>257</v>
      </c>
      <c r="G512" s="3">
        <v>5.98</v>
      </c>
      <c r="H512" s="3">
        <v>6.71</v>
      </c>
      <c r="I512" s="3">
        <v>8.1300000000000008</v>
      </c>
      <c r="J512" s="3">
        <v>8.1199999999999992</v>
      </c>
      <c r="K512" s="3">
        <v>6.93</v>
      </c>
      <c r="L512" s="21">
        <v>7.99</v>
      </c>
      <c r="M512" s="3">
        <v>1.46</v>
      </c>
      <c r="N512" s="2" t="s">
        <v>171</v>
      </c>
      <c r="O512" s="4" t="s">
        <v>28</v>
      </c>
      <c r="P512" s="18" t="s">
        <v>350</v>
      </c>
      <c r="Q512" s="5">
        <f t="shared" si="28"/>
        <v>6.7170000000000005</v>
      </c>
      <c r="R512" s="5">
        <f t="shared" si="29"/>
        <v>8.0549999999999997</v>
      </c>
      <c r="S512" s="5">
        <f t="shared" si="30"/>
        <v>4.1950000000000003</v>
      </c>
      <c r="T512" s="23">
        <f>('Investor-Inputs'!$G$19 * Q512) + ('Investor-Inputs'!$J$19 * R512) + ('Investor-Inputs'!$N$19 * S512)</f>
        <v>40.456000000000003</v>
      </c>
      <c r="U512" s="27">
        <f t="shared" si="31"/>
        <v>323</v>
      </c>
    </row>
    <row r="513" spans="3:21" x14ac:dyDescent="0.25">
      <c r="C513" s="2" t="s">
        <v>260</v>
      </c>
      <c r="D513" s="2">
        <v>4</v>
      </c>
      <c r="E513" s="2" t="s">
        <v>14</v>
      </c>
      <c r="F513" s="2" t="s">
        <v>257</v>
      </c>
      <c r="G513" s="3">
        <v>7.15</v>
      </c>
      <c r="H513" s="3">
        <v>6.42</v>
      </c>
      <c r="I513" s="3">
        <v>8.02</v>
      </c>
      <c r="J513" s="3">
        <v>7.94</v>
      </c>
      <c r="K513" s="3">
        <v>8.33</v>
      </c>
      <c r="L513" s="21">
        <v>7.76</v>
      </c>
      <c r="M513" s="3">
        <v>1.51</v>
      </c>
      <c r="N513" s="2" t="s">
        <v>28</v>
      </c>
      <c r="O513" s="4" t="s">
        <v>17</v>
      </c>
      <c r="P513" s="18" t="s">
        <v>350</v>
      </c>
      <c r="Q513" s="5">
        <f t="shared" si="28"/>
        <v>7.3730000000000002</v>
      </c>
      <c r="R513" s="5">
        <f t="shared" si="29"/>
        <v>7.85</v>
      </c>
      <c r="S513" s="5">
        <f t="shared" si="30"/>
        <v>4.92</v>
      </c>
      <c r="T513" s="23">
        <f>('Investor-Inputs'!$G$19 * Q513) + ('Investor-Inputs'!$J$19 * R513) + ('Investor-Inputs'!$N$19 * S513)</f>
        <v>42.739000000000004</v>
      </c>
      <c r="U513" s="27">
        <f t="shared" si="31"/>
        <v>299</v>
      </c>
    </row>
    <row r="514" spans="3:21" x14ac:dyDescent="0.25">
      <c r="C514" s="2" t="s">
        <v>261</v>
      </c>
      <c r="D514" s="2">
        <v>4</v>
      </c>
      <c r="E514" s="2" t="s">
        <v>14</v>
      </c>
      <c r="F514" s="2" t="s">
        <v>262</v>
      </c>
      <c r="G514" s="3">
        <v>4.6900000000000004</v>
      </c>
      <c r="H514" s="3">
        <v>3.9</v>
      </c>
      <c r="I514" s="3">
        <v>6.64</v>
      </c>
      <c r="J514" s="3">
        <v>6.36</v>
      </c>
      <c r="K514" s="3">
        <v>5.72</v>
      </c>
      <c r="L514" s="21">
        <v>6.27</v>
      </c>
      <c r="M514" s="3">
        <v>0.65</v>
      </c>
      <c r="N514" s="2" t="s">
        <v>171</v>
      </c>
      <c r="O514" s="4" t="s">
        <v>24</v>
      </c>
      <c r="P514" s="18" t="s">
        <v>350</v>
      </c>
      <c r="Q514" s="5">
        <f t="shared" si="28"/>
        <v>5.516</v>
      </c>
      <c r="R514" s="5">
        <f t="shared" si="29"/>
        <v>6.3149999999999995</v>
      </c>
      <c r="S514" s="5">
        <f t="shared" si="30"/>
        <v>3.1850000000000001</v>
      </c>
      <c r="T514" s="23">
        <f>('Investor-Inputs'!$G$19 * Q514) + ('Investor-Inputs'!$J$19 * R514) + ('Investor-Inputs'!$N$19 * S514)</f>
        <v>32.363</v>
      </c>
      <c r="U514" s="27">
        <f t="shared" si="31"/>
        <v>492</v>
      </c>
    </row>
    <row r="515" spans="3:21" x14ac:dyDescent="0.25">
      <c r="C515" s="2" t="s">
        <v>263</v>
      </c>
      <c r="D515" s="2">
        <v>4</v>
      </c>
      <c r="E515" s="2" t="s">
        <v>14</v>
      </c>
      <c r="F515" s="2" t="s">
        <v>262</v>
      </c>
      <c r="G515" s="3">
        <v>4.6900000000000004</v>
      </c>
      <c r="H515" s="3">
        <v>4.0999999999999996</v>
      </c>
      <c r="I515" s="3">
        <v>6.59</v>
      </c>
      <c r="J515" s="3">
        <v>6.3</v>
      </c>
      <c r="K515" s="3">
        <v>5.7</v>
      </c>
      <c r="L515" s="21">
        <v>6.25</v>
      </c>
      <c r="M515" s="3">
        <v>0.65</v>
      </c>
      <c r="N515" s="2" t="s">
        <v>180</v>
      </c>
      <c r="O515" s="4" t="s">
        <v>17</v>
      </c>
      <c r="P515" s="18" t="s">
        <v>350</v>
      </c>
      <c r="Q515" s="5">
        <f t="shared" si="28"/>
        <v>5.4860000000000007</v>
      </c>
      <c r="R515" s="5">
        <f t="shared" si="29"/>
        <v>6.2750000000000004</v>
      </c>
      <c r="S515" s="5">
        <f t="shared" si="30"/>
        <v>3.1750000000000003</v>
      </c>
      <c r="T515" s="23">
        <f>('Investor-Inputs'!$G$19 * Q515) + ('Investor-Inputs'!$J$19 * R515) + ('Investor-Inputs'!$N$19 * S515)</f>
        <v>32.183</v>
      </c>
      <c r="U515" s="27">
        <f t="shared" si="31"/>
        <v>498</v>
      </c>
    </row>
    <row r="516" spans="3:21" x14ac:dyDescent="0.25">
      <c r="C516" s="2" t="s">
        <v>264</v>
      </c>
      <c r="D516" s="2">
        <v>5</v>
      </c>
      <c r="E516" s="2" t="s">
        <v>14</v>
      </c>
      <c r="F516" s="2" t="s">
        <v>262</v>
      </c>
      <c r="G516" s="3">
        <v>5.98</v>
      </c>
      <c r="H516" s="3">
        <v>5.44</v>
      </c>
      <c r="I516" s="3">
        <v>7.1</v>
      </c>
      <c r="J516" s="3">
        <v>7.01</v>
      </c>
      <c r="K516" s="3">
        <v>5.95</v>
      </c>
      <c r="L516" s="21">
        <v>6.7</v>
      </c>
      <c r="M516" s="3">
        <v>0.5</v>
      </c>
      <c r="N516" s="2" t="s">
        <v>171</v>
      </c>
      <c r="O516" s="4" t="s">
        <v>28</v>
      </c>
      <c r="P516" s="18" t="s">
        <v>350</v>
      </c>
      <c r="Q516" s="5">
        <f t="shared" si="28"/>
        <v>5.8149999999999995</v>
      </c>
      <c r="R516" s="5">
        <f t="shared" si="29"/>
        <v>6.8550000000000004</v>
      </c>
      <c r="S516" s="5">
        <f t="shared" si="30"/>
        <v>3.2250000000000001</v>
      </c>
      <c r="T516" s="23">
        <f>('Investor-Inputs'!$G$19 * Q516) + ('Investor-Inputs'!$J$19 * R516) + ('Investor-Inputs'!$N$19 * S516)</f>
        <v>34.380000000000003</v>
      </c>
      <c r="U516" s="27">
        <f t="shared" si="31"/>
        <v>412</v>
      </c>
    </row>
    <row r="517" spans="3:21" x14ac:dyDescent="0.25">
      <c r="C517" s="2" t="s">
        <v>265</v>
      </c>
      <c r="D517" s="2">
        <v>5</v>
      </c>
      <c r="E517" s="2" t="s">
        <v>14</v>
      </c>
      <c r="F517" s="2" t="s">
        <v>262</v>
      </c>
      <c r="G517" s="3">
        <v>4.8</v>
      </c>
      <c r="H517" s="3">
        <v>4.01</v>
      </c>
      <c r="I517" s="3">
        <v>6.99</v>
      </c>
      <c r="J517" s="3">
        <v>6.48</v>
      </c>
      <c r="K517" s="3">
        <v>6.23</v>
      </c>
      <c r="L517" s="21">
        <v>6.59</v>
      </c>
      <c r="M517" s="3">
        <v>0.74</v>
      </c>
      <c r="N517" s="2" t="s">
        <v>171</v>
      </c>
      <c r="O517" s="4" t="s">
        <v>17</v>
      </c>
      <c r="P517" s="18" t="s">
        <v>350</v>
      </c>
      <c r="Q517" s="5">
        <f t="shared" si="28"/>
        <v>5.9110000000000005</v>
      </c>
      <c r="R517" s="5">
        <f t="shared" si="29"/>
        <v>6.5350000000000001</v>
      </c>
      <c r="S517" s="5">
        <f t="shared" si="30"/>
        <v>3.4850000000000003</v>
      </c>
      <c r="T517" s="23">
        <f>('Investor-Inputs'!$G$19 * Q517) + ('Investor-Inputs'!$J$19 * R517) + ('Investor-Inputs'!$N$19 * S517)</f>
        <v>34.288000000000004</v>
      </c>
      <c r="U517" s="27">
        <f t="shared" si="31"/>
        <v>414</v>
      </c>
    </row>
    <row r="518" spans="3:21" x14ac:dyDescent="0.25">
      <c r="C518" s="2" t="s">
        <v>266</v>
      </c>
      <c r="D518" s="2">
        <v>4</v>
      </c>
      <c r="E518" s="2" t="s">
        <v>14</v>
      </c>
      <c r="F518" s="2" t="s">
        <v>262</v>
      </c>
      <c r="G518" s="3">
        <v>4.5599999999999996</v>
      </c>
      <c r="H518" s="3">
        <v>3.8</v>
      </c>
      <c r="I518" s="3">
        <v>6.86</v>
      </c>
      <c r="J518" s="3">
        <v>6.47</v>
      </c>
      <c r="K518" s="3">
        <v>5.61</v>
      </c>
      <c r="L518" s="21">
        <v>6.35</v>
      </c>
      <c r="M518" s="3">
        <v>0.42</v>
      </c>
      <c r="N518" s="2" t="s">
        <v>171</v>
      </c>
      <c r="O518" s="4" t="s">
        <v>17</v>
      </c>
      <c r="P518" s="18" t="s">
        <v>350</v>
      </c>
      <c r="Q518" s="5">
        <f t="shared" si="28"/>
        <v>5.5490000000000004</v>
      </c>
      <c r="R518" s="5">
        <f t="shared" si="29"/>
        <v>6.41</v>
      </c>
      <c r="S518" s="5">
        <f t="shared" si="30"/>
        <v>3.0150000000000001</v>
      </c>
      <c r="T518" s="23">
        <f>('Investor-Inputs'!$G$19 * Q518) + ('Investor-Inputs'!$J$19 * R518) + ('Investor-Inputs'!$N$19 * S518)</f>
        <v>32.481999999999999</v>
      </c>
      <c r="U518" s="27">
        <f t="shared" si="31"/>
        <v>488</v>
      </c>
    </row>
    <row r="519" spans="3:21" x14ac:dyDescent="0.25">
      <c r="C519" s="2" t="s">
        <v>267</v>
      </c>
      <c r="D519" s="2">
        <v>5</v>
      </c>
      <c r="E519" s="2" t="s">
        <v>14</v>
      </c>
      <c r="F519" s="2" t="s">
        <v>262</v>
      </c>
      <c r="G519" s="3">
        <v>5.81</v>
      </c>
      <c r="H519" s="3">
        <v>5.17</v>
      </c>
      <c r="I519" s="3">
        <v>6.93</v>
      </c>
      <c r="J519" s="3">
        <v>6.9</v>
      </c>
      <c r="K519" s="3">
        <v>7.19</v>
      </c>
      <c r="L519" s="21">
        <v>7.24</v>
      </c>
      <c r="M519" s="3">
        <v>0.46</v>
      </c>
      <c r="N519" s="2" t="s">
        <v>180</v>
      </c>
      <c r="O519" s="4" t="s">
        <v>28</v>
      </c>
      <c r="P519" s="18" t="s">
        <v>350</v>
      </c>
      <c r="Q519" s="5">
        <f t="shared" si="28"/>
        <v>6.3670000000000009</v>
      </c>
      <c r="R519" s="5">
        <f t="shared" si="29"/>
        <v>7.07</v>
      </c>
      <c r="S519" s="5">
        <f t="shared" si="30"/>
        <v>3.8250000000000002</v>
      </c>
      <c r="T519" s="23">
        <f>('Investor-Inputs'!$G$19 * Q519) + ('Investor-Inputs'!$J$19 * R519) + ('Investor-Inputs'!$N$19 * S519)</f>
        <v>37.066000000000003</v>
      </c>
      <c r="U519" s="27">
        <f t="shared" si="31"/>
        <v>341</v>
      </c>
    </row>
    <row r="520" spans="3:21" x14ac:dyDescent="0.25">
      <c r="C520" s="2" t="s">
        <v>268</v>
      </c>
      <c r="D520" s="2">
        <v>5</v>
      </c>
      <c r="E520" s="2" t="s">
        <v>14</v>
      </c>
      <c r="F520" s="2" t="s">
        <v>269</v>
      </c>
      <c r="G520" s="3">
        <v>6.15</v>
      </c>
      <c r="H520" s="3">
        <v>5.6</v>
      </c>
      <c r="I520" s="3">
        <v>7.34</v>
      </c>
      <c r="J520" s="3">
        <v>7.07</v>
      </c>
      <c r="K520" s="3">
        <v>6.41</v>
      </c>
      <c r="L520" s="21">
        <v>6.97</v>
      </c>
      <c r="M520" s="3">
        <v>0.43</v>
      </c>
      <c r="N520" s="2" t="s">
        <v>180</v>
      </c>
      <c r="O520" s="4" t="s">
        <v>24</v>
      </c>
      <c r="P520" s="18" t="s">
        <v>350</v>
      </c>
      <c r="Q520" s="5">
        <f t="shared" ref="Q520:Q583" si="32">I520*0.4+K520*0.5</f>
        <v>6.141</v>
      </c>
      <c r="R520" s="5">
        <f t="shared" ref="R520:R583" si="33">(L520+J520)/2</f>
        <v>7.02</v>
      </c>
      <c r="S520" s="5">
        <f t="shared" ref="S520:S583" si="34">(M520+K520)/2</f>
        <v>3.42</v>
      </c>
      <c r="T520" s="23">
        <f>('Investor-Inputs'!$G$19 * Q520) + ('Investor-Inputs'!$J$19 * R520) + ('Investor-Inputs'!$N$19 * S520)</f>
        <v>35.883000000000003</v>
      </c>
      <c r="U520" s="27">
        <f t="shared" ref="U520:U583" si="35">_xlfn.RANK.EQ(T520,$T$7:$T$592,0)</f>
        <v>353</v>
      </c>
    </row>
    <row r="521" spans="3:21" x14ac:dyDescent="0.25">
      <c r="C521" s="2" t="s">
        <v>270</v>
      </c>
      <c r="D521" s="2">
        <v>4</v>
      </c>
      <c r="E521" s="2" t="s">
        <v>14</v>
      </c>
      <c r="F521" s="2" t="s">
        <v>269</v>
      </c>
      <c r="G521" s="3">
        <v>5.98</v>
      </c>
      <c r="H521" s="3">
        <v>5.27</v>
      </c>
      <c r="I521" s="3">
        <v>7.57</v>
      </c>
      <c r="J521" s="3">
        <v>7.16</v>
      </c>
      <c r="K521" s="3">
        <v>6.57</v>
      </c>
      <c r="L521" s="21">
        <v>7.09</v>
      </c>
      <c r="M521" s="3">
        <v>0.54</v>
      </c>
      <c r="N521" s="2" t="s">
        <v>171</v>
      </c>
      <c r="O521" s="4" t="s">
        <v>24</v>
      </c>
      <c r="P521" s="18" t="s">
        <v>350</v>
      </c>
      <c r="Q521" s="5">
        <f t="shared" si="32"/>
        <v>6.3130000000000006</v>
      </c>
      <c r="R521" s="5">
        <f t="shared" si="33"/>
        <v>7.125</v>
      </c>
      <c r="S521" s="5">
        <f t="shared" si="34"/>
        <v>3.5550000000000002</v>
      </c>
      <c r="T521" s="23">
        <f>('Investor-Inputs'!$G$19 * Q521) + ('Investor-Inputs'!$J$19 * R521) + ('Investor-Inputs'!$N$19 * S521)</f>
        <v>36.744</v>
      </c>
      <c r="U521" s="27">
        <f t="shared" si="35"/>
        <v>345</v>
      </c>
    </row>
    <row r="522" spans="3:21" x14ac:dyDescent="0.25">
      <c r="C522" s="2" t="s">
        <v>271</v>
      </c>
      <c r="D522" s="2">
        <v>4</v>
      </c>
      <c r="E522" s="2" t="s">
        <v>14</v>
      </c>
      <c r="F522" s="2" t="s">
        <v>269</v>
      </c>
      <c r="G522" s="3">
        <v>5.96</v>
      </c>
      <c r="H522" s="3">
        <v>4.96</v>
      </c>
      <c r="I522" s="3">
        <v>7.46</v>
      </c>
      <c r="J522" s="3">
        <v>7.15</v>
      </c>
      <c r="K522" s="3">
        <v>6.37</v>
      </c>
      <c r="L522" s="21">
        <v>6.92</v>
      </c>
      <c r="M522" s="3">
        <v>0.63</v>
      </c>
      <c r="N522" s="2" t="s">
        <v>171</v>
      </c>
      <c r="O522" s="4" t="s">
        <v>24</v>
      </c>
      <c r="P522" s="18" t="s">
        <v>350</v>
      </c>
      <c r="Q522" s="5">
        <f t="shared" si="32"/>
        <v>6.1690000000000005</v>
      </c>
      <c r="R522" s="5">
        <f t="shared" si="33"/>
        <v>7.0350000000000001</v>
      </c>
      <c r="S522" s="5">
        <f t="shared" si="34"/>
        <v>3.5</v>
      </c>
      <c r="T522" s="23">
        <f>('Investor-Inputs'!$G$19 * Q522) + ('Investor-Inputs'!$J$19 * R522) + ('Investor-Inputs'!$N$19 * S522)</f>
        <v>36.076999999999998</v>
      </c>
      <c r="U522" s="27">
        <f t="shared" si="35"/>
        <v>351</v>
      </c>
    </row>
    <row r="523" spans="3:21" x14ac:dyDescent="0.25">
      <c r="C523" s="2" t="s">
        <v>272</v>
      </c>
      <c r="D523" s="2">
        <v>4</v>
      </c>
      <c r="E523" s="2" t="s">
        <v>14</v>
      </c>
      <c r="F523" s="2" t="s">
        <v>273</v>
      </c>
      <c r="G523" s="3">
        <v>0.25</v>
      </c>
      <c r="H523" s="3">
        <v>1.48</v>
      </c>
      <c r="I523" s="3">
        <v>6.51</v>
      </c>
      <c r="J523" s="3">
        <v>5.38</v>
      </c>
      <c r="K523" s="3">
        <v>5.38</v>
      </c>
      <c r="L523" s="21">
        <v>5.8</v>
      </c>
      <c r="M523" s="3">
        <v>0.86</v>
      </c>
      <c r="N523" s="2" t="s">
        <v>171</v>
      </c>
      <c r="O523" s="4" t="s">
        <v>17</v>
      </c>
      <c r="P523" s="18" t="s">
        <v>350</v>
      </c>
      <c r="Q523" s="5">
        <f t="shared" si="32"/>
        <v>5.2940000000000005</v>
      </c>
      <c r="R523" s="5">
        <f t="shared" si="33"/>
        <v>5.59</v>
      </c>
      <c r="S523" s="5">
        <f t="shared" si="34"/>
        <v>3.12</v>
      </c>
      <c r="T523" s="23">
        <f>('Investor-Inputs'!$G$19 * Q523) + ('Investor-Inputs'!$J$19 * R523) + ('Investor-Inputs'!$N$19 * S523)</f>
        <v>30.182000000000002</v>
      </c>
      <c r="U523" s="27">
        <f t="shared" si="35"/>
        <v>536</v>
      </c>
    </row>
    <row r="524" spans="3:21" x14ac:dyDescent="0.25">
      <c r="C524" s="2" t="s">
        <v>274</v>
      </c>
      <c r="D524" s="2">
        <v>5</v>
      </c>
      <c r="E524" s="2" t="s">
        <v>14</v>
      </c>
      <c r="F524" s="2" t="s">
        <v>273</v>
      </c>
      <c r="G524" s="3">
        <v>-0.12</v>
      </c>
      <c r="H524" s="3">
        <v>-0.21</v>
      </c>
      <c r="I524" s="3">
        <v>6.04</v>
      </c>
      <c r="J524" s="3">
        <v>4.78</v>
      </c>
      <c r="K524" s="3">
        <v>5.12</v>
      </c>
      <c r="L524" s="21">
        <v>5.45</v>
      </c>
      <c r="M524" s="3">
        <v>0.46</v>
      </c>
      <c r="N524" s="2" t="s">
        <v>171</v>
      </c>
      <c r="O524" s="4" t="s">
        <v>17</v>
      </c>
      <c r="P524" s="18" t="s">
        <v>350</v>
      </c>
      <c r="Q524" s="5">
        <f t="shared" si="32"/>
        <v>4.9760000000000009</v>
      </c>
      <c r="R524" s="5">
        <f t="shared" si="33"/>
        <v>5.1150000000000002</v>
      </c>
      <c r="S524" s="5">
        <f t="shared" si="34"/>
        <v>2.79</v>
      </c>
      <c r="T524" s="23">
        <f>('Investor-Inputs'!$G$19 * Q524) + ('Investor-Inputs'!$J$19 * R524) + ('Investor-Inputs'!$N$19 * S524)</f>
        <v>27.948</v>
      </c>
      <c r="U524" s="27">
        <f t="shared" si="35"/>
        <v>558</v>
      </c>
    </row>
    <row r="525" spans="3:21" x14ac:dyDescent="0.25">
      <c r="C525" s="2" t="s">
        <v>275</v>
      </c>
      <c r="D525" s="2">
        <v>4</v>
      </c>
      <c r="E525" s="2" t="s">
        <v>14</v>
      </c>
      <c r="F525" s="2" t="s">
        <v>273</v>
      </c>
      <c r="G525" s="3">
        <v>1.95</v>
      </c>
      <c r="H525" s="3">
        <v>3.53</v>
      </c>
      <c r="I525" s="3">
        <v>5.67</v>
      </c>
      <c r="J525" s="3">
        <v>5.37</v>
      </c>
      <c r="K525" s="3">
        <v>4.8099999999999996</v>
      </c>
      <c r="L525" s="21">
        <v>5.31</v>
      </c>
      <c r="M525" s="3">
        <v>1.1499999999999999</v>
      </c>
      <c r="N525" s="2" t="s">
        <v>171</v>
      </c>
      <c r="O525" s="4" t="s">
        <v>24</v>
      </c>
      <c r="P525" s="18" t="s">
        <v>350</v>
      </c>
      <c r="Q525" s="5">
        <f t="shared" si="32"/>
        <v>4.673</v>
      </c>
      <c r="R525" s="5">
        <f t="shared" si="33"/>
        <v>5.34</v>
      </c>
      <c r="S525" s="5">
        <f t="shared" si="34"/>
        <v>2.9799999999999995</v>
      </c>
      <c r="T525" s="23">
        <f>('Investor-Inputs'!$G$19 * Q525) + ('Investor-Inputs'!$J$19 * R525) + ('Investor-Inputs'!$N$19 * S525)</f>
        <v>27.678999999999998</v>
      </c>
      <c r="U525" s="27">
        <f t="shared" si="35"/>
        <v>560</v>
      </c>
    </row>
    <row r="526" spans="3:21" x14ac:dyDescent="0.25">
      <c r="C526" s="2" t="s">
        <v>276</v>
      </c>
      <c r="D526" s="2">
        <v>4</v>
      </c>
      <c r="E526" s="2" t="s">
        <v>14</v>
      </c>
      <c r="F526" s="2" t="s">
        <v>273</v>
      </c>
      <c r="G526" s="3">
        <v>-0.21</v>
      </c>
      <c r="H526" s="3">
        <v>0.31</v>
      </c>
      <c r="I526" s="3">
        <v>5.83</v>
      </c>
      <c r="J526" s="3">
        <v>4.63</v>
      </c>
      <c r="K526" s="3">
        <v>4.9800000000000004</v>
      </c>
      <c r="L526" s="21">
        <v>5.23</v>
      </c>
      <c r="M526" s="3">
        <v>0.93</v>
      </c>
      <c r="N526" s="2" t="s">
        <v>171</v>
      </c>
      <c r="O526" s="4" t="s">
        <v>17</v>
      </c>
      <c r="P526" s="18" t="s">
        <v>350</v>
      </c>
      <c r="Q526" s="5">
        <f t="shared" si="32"/>
        <v>4.822000000000001</v>
      </c>
      <c r="R526" s="5">
        <f t="shared" si="33"/>
        <v>4.93</v>
      </c>
      <c r="S526" s="5">
        <f t="shared" si="34"/>
        <v>2.9550000000000001</v>
      </c>
      <c r="T526" s="23">
        <f>('Investor-Inputs'!$G$19 * Q526) + ('Investor-Inputs'!$J$19 * R526) + ('Investor-Inputs'!$N$19 * S526)</f>
        <v>27.280999999999999</v>
      </c>
      <c r="U526" s="27">
        <f t="shared" si="35"/>
        <v>562</v>
      </c>
    </row>
    <row r="527" spans="3:21" x14ac:dyDescent="0.25">
      <c r="C527" s="2" t="s">
        <v>277</v>
      </c>
      <c r="D527" s="2">
        <v>5</v>
      </c>
      <c r="E527" s="2" t="s">
        <v>14</v>
      </c>
      <c r="F527" s="2" t="s">
        <v>273</v>
      </c>
      <c r="G527" s="3">
        <v>1.99</v>
      </c>
      <c r="H527" s="3">
        <v>1.66</v>
      </c>
      <c r="I527" s="3">
        <v>6.66</v>
      </c>
      <c r="J527" s="3">
        <v>5.54</v>
      </c>
      <c r="K527" s="3">
        <v>6.03</v>
      </c>
      <c r="L527" s="21">
        <v>6.17</v>
      </c>
      <c r="M527" s="3">
        <v>1.1000000000000001</v>
      </c>
      <c r="N527" s="2" t="s">
        <v>171</v>
      </c>
      <c r="O527" s="4" t="s">
        <v>28</v>
      </c>
      <c r="P527" s="18" t="s">
        <v>350</v>
      </c>
      <c r="Q527" s="5">
        <f t="shared" si="32"/>
        <v>5.6790000000000003</v>
      </c>
      <c r="R527" s="5">
        <f t="shared" si="33"/>
        <v>5.8550000000000004</v>
      </c>
      <c r="S527" s="5">
        <f t="shared" si="34"/>
        <v>3.5650000000000004</v>
      </c>
      <c r="T527" s="23">
        <f>('Investor-Inputs'!$G$19 * Q527) + ('Investor-Inputs'!$J$19 * R527) + ('Investor-Inputs'!$N$19 * S527)</f>
        <v>32.311999999999998</v>
      </c>
      <c r="U527" s="27">
        <f t="shared" si="35"/>
        <v>494</v>
      </c>
    </row>
    <row r="528" spans="3:21" x14ac:dyDescent="0.25">
      <c r="C528" s="2" t="s">
        <v>278</v>
      </c>
      <c r="D528" s="2">
        <v>5</v>
      </c>
      <c r="E528" s="2" t="s">
        <v>14</v>
      </c>
      <c r="F528" s="2" t="s">
        <v>273</v>
      </c>
      <c r="G528" s="3">
        <v>4.49</v>
      </c>
      <c r="H528" s="3">
        <v>3.29</v>
      </c>
      <c r="I528" s="3">
        <v>6.76</v>
      </c>
      <c r="J528" s="3">
        <v>6.43</v>
      </c>
      <c r="K528" s="2"/>
      <c r="L528" s="20"/>
      <c r="M528" s="3">
        <v>0.27</v>
      </c>
      <c r="N528" s="2" t="s">
        <v>171</v>
      </c>
      <c r="O528" s="4" t="s">
        <v>28</v>
      </c>
      <c r="P528" s="18" t="s">
        <v>350</v>
      </c>
      <c r="Q528" s="5">
        <f t="shared" si="32"/>
        <v>2.7040000000000002</v>
      </c>
      <c r="R528" s="5">
        <f t="shared" si="33"/>
        <v>3.2149999999999999</v>
      </c>
      <c r="S528" s="5">
        <f t="shared" si="34"/>
        <v>0.13500000000000001</v>
      </c>
      <c r="T528" s="23">
        <f>('Investor-Inputs'!$G$19 * Q528) + ('Investor-Inputs'!$J$19 * R528) + ('Investor-Inputs'!$N$19 * S528)</f>
        <v>14.677</v>
      </c>
      <c r="U528" s="27">
        <f t="shared" si="35"/>
        <v>581</v>
      </c>
    </row>
    <row r="529" spans="3:21" x14ac:dyDescent="0.25">
      <c r="C529" s="2" t="s">
        <v>279</v>
      </c>
      <c r="D529" s="2">
        <v>4</v>
      </c>
      <c r="E529" s="2" t="s">
        <v>14</v>
      </c>
      <c r="F529" s="2" t="s">
        <v>273</v>
      </c>
      <c r="G529" s="3">
        <v>0.12</v>
      </c>
      <c r="H529" s="3">
        <v>1.64</v>
      </c>
      <c r="I529" s="3">
        <v>6.11</v>
      </c>
      <c r="J529" s="3">
        <v>5</v>
      </c>
      <c r="K529" s="3">
        <v>5.69</v>
      </c>
      <c r="L529" s="21">
        <v>5.8</v>
      </c>
      <c r="M529" s="3">
        <v>0.96</v>
      </c>
      <c r="N529" s="2" t="s">
        <v>171</v>
      </c>
      <c r="O529" s="4" t="s">
        <v>17</v>
      </c>
      <c r="P529" s="18" t="s">
        <v>350</v>
      </c>
      <c r="Q529" s="5">
        <f t="shared" si="32"/>
        <v>5.2890000000000006</v>
      </c>
      <c r="R529" s="5">
        <f t="shared" si="33"/>
        <v>5.4</v>
      </c>
      <c r="S529" s="5">
        <f t="shared" si="34"/>
        <v>3.3250000000000002</v>
      </c>
      <c r="T529" s="23">
        <f>('Investor-Inputs'!$G$19 * Q529) + ('Investor-Inputs'!$J$19 * R529) + ('Investor-Inputs'!$N$19 * S529)</f>
        <v>29.992000000000001</v>
      </c>
      <c r="U529" s="27">
        <f t="shared" si="35"/>
        <v>540</v>
      </c>
    </row>
    <row r="530" spans="3:21" x14ac:dyDescent="0.25">
      <c r="C530" s="2" t="s">
        <v>280</v>
      </c>
      <c r="D530" s="2">
        <v>4</v>
      </c>
      <c r="E530" s="2" t="s">
        <v>14</v>
      </c>
      <c r="F530" s="2" t="s">
        <v>273</v>
      </c>
      <c r="G530" s="3">
        <v>2.21</v>
      </c>
      <c r="H530" s="3">
        <v>4.46</v>
      </c>
      <c r="I530" s="3">
        <v>6.58</v>
      </c>
      <c r="J530" s="3">
        <v>6.09</v>
      </c>
      <c r="K530" s="3">
        <v>5.56</v>
      </c>
      <c r="L530" s="21">
        <v>6.17</v>
      </c>
      <c r="M530" s="3">
        <v>0.99</v>
      </c>
      <c r="N530" s="2" t="s">
        <v>171</v>
      </c>
      <c r="O530" s="4" t="s">
        <v>17</v>
      </c>
      <c r="P530" s="18" t="s">
        <v>350</v>
      </c>
      <c r="Q530" s="5">
        <f t="shared" si="32"/>
        <v>5.4119999999999999</v>
      </c>
      <c r="R530" s="5">
        <f t="shared" si="33"/>
        <v>6.13</v>
      </c>
      <c r="S530" s="5">
        <f t="shared" si="34"/>
        <v>3.2749999999999999</v>
      </c>
      <c r="T530" s="23">
        <f>('Investor-Inputs'!$G$19 * Q530) + ('Investor-Inputs'!$J$19 * R530) + ('Investor-Inputs'!$N$19 * S530)</f>
        <v>31.771000000000001</v>
      </c>
      <c r="U530" s="27">
        <f t="shared" si="35"/>
        <v>506</v>
      </c>
    </row>
    <row r="531" spans="3:21" x14ac:dyDescent="0.25">
      <c r="C531" s="2" t="s">
        <v>281</v>
      </c>
      <c r="D531" s="2">
        <v>4</v>
      </c>
      <c r="E531" s="2" t="s">
        <v>14</v>
      </c>
      <c r="F531" s="2" t="s">
        <v>282</v>
      </c>
      <c r="G531" s="3">
        <v>8.7200000000000006</v>
      </c>
      <c r="H531" s="3">
        <v>3.9</v>
      </c>
      <c r="I531" s="3">
        <v>15.34</v>
      </c>
      <c r="J531" s="3">
        <v>10.199999999999999</v>
      </c>
      <c r="K531" s="3">
        <v>13</v>
      </c>
      <c r="L531" s="21">
        <v>11.57</v>
      </c>
      <c r="M531" s="3">
        <v>2.68</v>
      </c>
      <c r="N531" s="2" t="s">
        <v>16</v>
      </c>
      <c r="O531" s="4" t="s">
        <v>17</v>
      </c>
      <c r="P531" s="18" t="s">
        <v>350</v>
      </c>
      <c r="Q531" s="5">
        <f t="shared" si="32"/>
        <v>12.635999999999999</v>
      </c>
      <c r="R531" s="5">
        <f t="shared" si="33"/>
        <v>10.885</v>
      </c>
      <c r="S531" s="5">
        <f t="shared" si="34"/>
        <v>7.84</v>
      </c>
      <c r="T531" s="23">
        <f>('Investor-Inputs'!$G$19 * Q531) + ('Investor-Inputs'!$J$19 * R531) + ('Investor-Inputs'!$N$19 * S531)</f>
        <v>67.518000000000001</v>
      </c>
      <c r="U531" s="27">
        <f t="shared" si="35"/>
        <v>200</v>
      </c>
    </row>
    <row r="532" spans="3:21" x14ac:dyDescent="0.25">
      <c r="C532" s="2" t="s">
        <v>283</v>
      </c>
      <c r="D532" s="2">
        <v>4</v>
      </c>
      <c r="E532" s="2" t="s">
        <v>14</v>
      </c>
      <c r="F532" s="2" t="s">
        <v>282</v>
      </c>
      <c r="G532" s="3">
        <v>13.63</v>
      </c>
      <c r="H532" s="3">
        <v>12.14</v>
      </c>
      <c r="I532" s="3">
        <v>19.8</v>
      </c>
      <c r="J532" s="3">
        <v>11.86</v>
      </c>
      <c r="K532" s="3">
        <v>17.28</v>
      </c>
      <c r="L532" s="21">
        <v>14.61</v>
      </c>
      <c r="M532" s="3">
        <v>2.87</v>
      </c>
      <c r="N532" s="2" t="s">
        <v>16</v>
      </c>
      <c r="O532" s="4" t="s">
        <v>28</v>
      </c>
      <c r="P532" s="18" t="s">
        <v>350</v>
      </c>
      <c r="Q532" s="5">
        <f t="shared" si="32"/>
        <v>16.560000000000002</v>
      </c>
      <c r="R532" s="5">
        <f t="shared" si="33"/>
        <v>13.234999999999999</v>
      </c>
      <c r="S532" s="5">
        <f t="shared" si="34"/>
        <v>10.075000000000001</v>
      </c>
      <c r="T532" s="23">
        <f>('Investor-Inputs'!$G$19 * Q532) + ('Investor-Inputs'!$J$19 * R532) + ('Investor-Inputs'!$N$19 * S532)</f>
        <v>86.225000000000009</v>
      </c>
      <c r="U532" s="27">
        <f t="shared" si="35"/>
        <v>102</v>
      </c>
    </row>
    <row r="533" spans="3:21" x14ac:dyDescent="0.25">
      <c r="C533" s="2" t="s">
        <v>284</v>
      </c>
      <c r="D533" s="2">
        <v>4</v>
      </c>
      <c r="E533" s="2" t="s">
        <v>14</v>
      </c>
      <c r="F533" s="2" t="s">
        <v>282</v>
      </c>
      <c r="G533" s="3">
        <v>3.76</v>
      </c>
      <c r="H533" s="3">
        <v>0.3</v>
      </c>
      <c r="I533" s="3">
        <v>15.1</v>
      </c>
      <c r="J533" s="3">
        <v>8.1999999999999993</v>
      </c>
      <c r="K533" s="3">
        <v>14.44</v>
      </c>
      <c r="L533" s="21">
        <v>11.85</v>
      </c>
      <c r="M533" s="3">
        <v>1.91</v>
      </c>
      <c r="N533" s="2" t="s">
        <v>16</v>
      </c>
      <c r="O533" s="4" t="s">
        <v>17</v>
      </c>
      <c r="P533" s="18" t="s">
        <v>350</v>
      </c>
      <c r="Q533" s="5">
        <f t="shared" si="32"/>
        <v>13.26</v>
      </c>
      <c r="R533" s="5">
        <f t="shared" si="33"/>
        <v>10.024999999999999</v>
      </c>
      <c r="S533" s="5">
        <f t="shared" si="34"/>
        <v>8.1749999999999989</v>
      </c>
      <c r="T533" s="23">
        <f>('Investor-Inputs'!$G$19 * Q533) + ('Investor-Inputs'!$J$19 * R533) + ('Investor-Inputs'!$N$19 * S533)</f>
        <v>68.004999999999995</v>
      </c>
      <c r="U533" s="27">
        <f t="shared" si="35"/>
        <v>196</v>
      </c>
    </row>
    <row r="534" spans="3:21" x14ac:dyDescent="0.25">
      <c r="C534" s="2" t="s">
        <v>285</v>
      </c>
      <c r="D534" s="2">
        <v>4</v>
      </c>
      <c r="E534" s="2" t="s">
        <v>14</v>
      </c>
      <c r="F534" s="2" t="s">
        <v>282</v>
      </c>
      <c r="G534" s="3">
        <v>-0.61</v>
      </c>
      <c r="H534" s="3">
        <v>-5.91</v>
      </c>
      <c r="I534" s="3">
        <v>10.73</v>
      </c>
      <c r="J534" s="3">
        <v>3.47</v>
      </c>
      <c r="K534" s="3">
        <v>12.43</v>
      </c>
      <c r="L534" s="21">
        <v>8.61</v>
      </c>
      <c r="M534" s="3">
        <v>1.74</v>
      </c>
      <c r="N534" s="2" t="s">
        <v>16</v>
      </c>
      <c r="O534" s="4" t="s">
        <v>24</v>
      </c>
      <c r="P534" s="18" t="s">
        <v>350</v>
      </c>
      <c r="Q534" s="5">
        <f t="shared" si="32"/>
        <v>10.507000000000001</v>
      </c>
      <c r="R534" s="5">
        <f t="shared" si="33"/>
        <v>6.04</v>
      </c>
      <c r="S534" s="5">
        <f t="shared" si="34"/>
        <v>7.085</v>
      </c>
      <c r="T534" s="23">
        <f>('Investor-Inputs'!$G$19 * Q534) + ('Investor-Inputs'!$J$19 * R534) + ('Investor-Inputs'!$N$19 * S534)</f>
        <v>50.686000000000007</v>
      </c>
      <c r="U534" s="27">
        <f t="shared" si="35"/>
        <v>283</v>
      </c>
    </row>
    <row r="535" spans="3:21" x14ac:dyDescent="0.25">
      <c r="C535" s="2" t="s">
        <v>286</v>
      </c>
      <c r="D535" s="2">
        <v>4</v>
      </c>
      <c r="E535" s="2" t="s">
        <v>14</v>
      </c>
      <c r="F535" s="2" t="s">
        <v>282</v>
      </c>
      <c r="G535" s="3">
        <v>-1.29</v>
      </c>
      <c r="H535" s="3">
        <v>-7.05</v>
      </c>
      <c r="I535" s="3">
        <v>10.75</v>
      </c>
      <c r="J535" s="3">
        <v>3.26</v>
      </c>
      <c r="K535" s="3">
        <v>11.27</v>
      </c>
      <c r="L535" s="21">
        <v>8.07</v>
      </c>
      <c r="M535" s="3">
        <v>2.1800000000000002</v>
      </c>
      <c r="N535" s="2" t="s">
        <v>16</v>
      </c>
      <c r="O535" s="4" t="s">
        <v>24</v>
      </c>
      <c r="P535" s="18" t="s">
        <v>350</v>
      </c>
      <c r="Q535" s="5">
        <f t="shared" si="32"/>
        <v>9.9349999999999987</v>
      </c>
      <c r="R535" s="5">
        <f t="shared" si="33"/>
        <v>5.665</v>
      </c>
      <c r="S535" s="5">
        <f t="shared" si="34"/>
        <v>6.7249999999999996</v>
      </c>
      <c r="T535" s="23">
        <f>('Investor-Inputs'!$G$19 * Q535) + ('Investor-Inputs'!$J$19 * R535) + ('Investor-Inputs'!$N$19 * S535)</f>
        <v>47.86</v>
      </c>
      <c r="U535" s="27">
        <f t="shared" si="35"/>
        <v>287</v>
      </c>
    </row>
    <row r="536" spans="3:21" x14ac:dyDescent="0.25">
      <c r="C536" s="2" t="s">
        <v>287</v>
      </c>
      <c r="D536" s="2">
        <v>4</v>
      </c>
      <c r="E536" s="2" t="s">
        <v>14</v>
      </c>
      <c r="F536" s="2" t="s">
        <v>282</v>
      </c>
      <c r="G536" s="3">
        <v>6.93</v>
      </c>
      <c r="H536" s="3">
        <v>2.4</v>
      </c>
      <c r="I536" s="3">
        <v>17.28</v>
      </c>
      <c r="J536" s="3">
        <v>9.5299999999999994</v>
      </c>
      <c r="K536" s="3">
        <v>14.53</v>
      </c>
      <c r="L536" s="21">
        <v>12.75</v>
      </c>
      <c r="M536" s="3">
        <v>5.98</v>
      </c>
      <c r="N536" s="2" t="s">
        <v>16</v>
      </c>
      <c r="O536" s="4" t="s">
        <v>17</v>
      </c>
      <c r="P536" s="18" t="s">
        <v>350</v>
      </c>
      <c r="Q536" s="5">
        <f t="shared" si="32"/>
        <v>14.177</v>
      </c>
      <c r="R536" s="5">
        <f t="shared" si="33"/>
        <v>11.14</v>
      </c>
      <c r="S536" s="5">
        <f t="shared" si="34"/>
        <v>10.254999999999999</v>
      </c>
      <c r="T536" s="23">
        <f>('Investor-Inputs'!$G$19 * Q536) + ('Investor-Inputs'!$J$19 * R536) + ('Investor-Inputs'!$N$19 * S536)</f>
        <v>75.066000000000003</v>
      </c>
      <c r="U536" s="27">
        <f t="shared" si="35"/>
        <v>160</v>
      </c>
    </row>
    <row r="537" spans="3:21" x14ac:dyDescent="0.25">
      <c r="C537" s="2" t="s">
        <v>288</v>
      </c>
      <c r="D537" s="2">
        <v>5</v>
      </c>
      <c r="E537" s="2" t="s">
        <v>14</v>
      </c>
      <c r="F537" s="2" t="s">
        <v>282</v>
      </c>
      <c r="G537" s="3">
        <v>5.07</v>
      </c>
      <c r="H537" s="3">
        <v>1.82</v>
      </c>
      <c r="I537" s="3">
        <v>17.63</v>
      </c>
      <c r="J537" s="3">
        <v>10.4</v>
      </c>
      <c r="K537" s="3">
        <v>18.260000000000002</v>
      </c>
      <c r="L537" s="21">
        <v>14.41</v>
      </c>
      <c r="M537" s="3">
        <v>2.89</v>
      </c>
      <c r="N537" s="2" t="s">
        <v>16</v>
      </c>
      <c r="O537" s="4" t="s">
        <v>28</v>
      </c>
      <c r="P537" s="18" t="s">
        <v>350</v>
      </c>
      <c r="Q537" s="5">
        <f t="shared" si="32"/>
        <v>16.182000000000002</v>
      </c>
      <c r="R537" s="5">
        <f t="shared" si="33"/>
        <v>12.405000000000001</v>
      </c>
      <c r="S537" s="5">
        <f t="shared" si="34"/>
        <v>10.575000000000001</v>
      </c>
      <c r="T537" s="23">
        <f>('Investor-Inputs'!$G$19 * Q537) + ('Investor-Inputs'!$J$19 * R537) + ('Investor-Inputs'!$N$19 * S537)</f>
        <v>83.931000000000012</v>
      </c>
      <c r="U537" s="27">
        <f t="shared" si="35"/>
        <v>112</v>
      </c>
    </row>
    <row r="538" spans="3:21" x14ac:dyDescent="0.25">
      <c r="C538" s="2" t="s">
        <v>289</v>
      </c>
      <c r="D538" s="2">
        <v>5</v>
      </c>
      <c r="E538" s="2" t="s">
        <v>14</v>
      </c>
      <c r="F538" s="2" t="s">
        <v>282</v>
      </c>
      <c r="G538" s="3">
        <v>13.41</v>
      </c>
      <c r="H538" s="3">
        <v>7.26</v>
      </c>
      <c r="I538" s="3">
        <v>20.96</v>
      </c>
      <c r="J538" s="3">
        <v>13.18</v>
      </c>
      <c r="K538" s="3">
        <v>16.27</v>
      </c>
      <c r="L538" s="21">
        <v>15.44</v>
      </c>
      <c r="M538" s="3">
        <v>2.5299999999999998</v>
      </c>
      <c r="N538" s="2" t="s">
        <v>16</v>
      </c>
      <c r="O538" s="4" t="s">
        <v>28</v>
      </c>
      <c r="P538" s="18" t="s">
        <v>350</v>
      </c>
      <c r="Q538" s="5">
        <f t="shared" si="32"/>
        <v>16.518999999999998</v>
      </c>
      <c r="R538" s="5">
        <f t="shared" si="33"/>
        <v>14.309999999999999</v>
      </c>
      <c r="S538" s="5">
        <f t="shared" si="34"/>
        <v>9.4</v>
      </c>
      <c r="T538" s="23">
        <f>('Investor-Inputs'!$G$19 * Q538) + ('Investor-Inputs'!$J$19 * R538) + ('Investor-Inputs'!$N$19 * S538)</f>
        <v>87.576999999999998</v>
      </c>
      <c r="U538" s="27">
        <f t="shared" si="35"/>
        <v>91</v>
      </c>
    </row>
    <row r="539" spans="3:21" x14ac:dyDescent="0.25">
      <c r="C539" s="2" t="s">
        <v>290</v>
      </c>
      <c r="D539" s="2">
        <v>4</v>
      </c>
      <c r="E539" s="2" t="s">
        <v>14</v>
      </c>
      <c r="F539" s="2" t="s">
        <v>282</v>
      </c>
      <c r="G539" s="3">
        <v>-0.94</v>
      </c>
      <c r="H539" s="3">
        <v>-5.67</v>
      </c>
      <c r="I539" s="3">
        <v>16.27</v>
      </c>
      <c r="J539" s="3">
        <v>4.33</v>
      </c>
      <c r="K539" s="3">
        <v>14.06</v>
      </c>
      <c r="L539" s="21">
        <v>11.02</v>
      </c>
      <c r="M539" s="3">
        <v>2.93</v>
      </c>
      <c r="N539" s="2" t="s">
        <v>16</v>
      </c>
      <c r="O539" s="4" t="s">
        <v>17</v>
      </c>
      <c r="P539" s="18" t="s">
        <v>350</v>
      </c>
      <c r="Q539" s="5">
        <f t="shared" si="32"/>
        <v>13.538</v>
      </c>
      <c r="R539" s="5">
        <f t="shared" si="33"/>
        <v>7.6749999999999998</v>
      </c>
      <c r="S539" s="5">
        <f t="shared" si="34"/>
        <v>8.495000000000001</v>
      </c>
      <c r="T539" s="23">
        <f>('Investor-Inputs'!$G$19 * Q539) + ('Investor-Inputs'!$J$19 * R539) + ('Investor-Inputs'!$N$19 * S539)</f>
        <v>64.459000000000003</v>
      </c>
      <c r="U539" s="27">
        <f t="shared" si="35"/>
        <v>210</v>
      </c>
    </row>
    <row r="540" spans="3:21" x14ac:dyDescent="0.25">
      <c r="C540" s="2" t="s">
        <v>291</v>
      </c>
      <c r="D540" s="2">
        <v>4</v>
      </c>
      <c r="E540" s="2" t="s">
        <v>14</v>
      </c>
      <c r="F540" s="2" t="s">
        <v>282</v>
      </c>
      <c r="G540" s="3">
        <v>7.84</v>
      </c>
      <c r="H540" s="3">
        <v>3.41</v>
      </c>
      <c r="I540" s="3">
        <v>14.43</v>
      </c>
      <c r="J540" s="3">
        <v>8.92</v>
      </c>
      <c r="K540" s="3">
        <v>13.09</v>
      </c>
      <c r="L540" s="21">
        <v>11.29</v>
      </c>
      <c r="M540" s="3">
        <v>1.8</v>
      </c>
      <c r="N540" s="2" t="s">
        <v>16</v>
      </c>
      <c r="O540" s="4" t="s">
        <v>17</v>
      </c>
      <c r="P540" s="18" t="s">
        <v>350</v>
      </c>
      <c r="Q540" s="5">
        <f t="shared" si="32"/>
        <v>12.317</v>
      </c>
      <c r="R540" s="5">
        <f t="shared" si="33"/>
        <v>10.105</v>
      </c>
      <c r="S540" s="5">
        <f t="shared" si="34"/>
        <v>7.4450000000000003</v>
      </c>
      <c r="T540" s="23">
        <f>('Investor-Inputs'!$G$19 * Q540) + ('Investor-Inputs'!$J$19 * R540) + ('Investor-Inputs'!$N$19 * S540)</f>
        <v>64.605999999999995</v>
      </c>
      <c r="U540" s="27">
        <f t="shared" si="35"/>
        <v>206</v>
      </c>
    </row>
    <row r="541" spans="3:21" x14ac:dyDescent="0.25">
      <c r="C541" s="2" t="s">
        <v>292</v>
      </c>
      <c r="D541" s="2">
        <v>4</v>
      </c>
      <c r="E541" s="2" t="s">
        <v>14</v>
      </c>
      <c r="F541" s="2" t="s">
        <v>282</v>
      </c>
      <c r="G541" s="3">
        <v>1.07</v>
      </c>
      <c r="H541" s="3">
        <v>-4.09</v>
      </c>
      <c r="I541" s="3">
        <v>14.7</v>
      </c>
      <c r="J541" s="3">
        <v>6.89</v>
      </c>
      <c r="K541" s="3">
        <v>13.47</v>
      </c>
      <c r="L541" s="21">
        <v>10.63</v>
      </c>
      <c r="M541" s="3">
        <v>1.98</v>
      </c>
      <c r="N541" s="2" t="s">
        <v>16</v>
      </c>
      <c r="O541" s="4" t="s">
        <v>17</v>
      </c>
      <c r="P541" s="18" t="s">
        <v>350</v>
      </c>
      <c r="Q541" s="5">
        <f t="shared" si="32"/>
        <v>12.615</v>
      </c>
      <c r="R541" s="5">
        <f t="shared" si="33"/>
        <v>8.76</v>
      </c>
      <c r="S541" s="5">
        <f t="shared" si="34"/>
        <v>7.7250000000000005</v>
      </c>
      <c r="T541" s="23">
        <f>('Investor-Inputs'!$G$19 * Q541) + ('Investor-Inputs'!$J$19 * R541) + ('Investor-Inputs'!$N$19 * S541)</f>
        <v>63.089999999999996</v>
      </c>
      <c r="U541" s="27">
        <f t="shared" si="35"/>
        <v>220</v>
      </c>
    </row>
    <row r="542" spans="3:21" x14ac:dyDescent="0.25">
      <c r="C542" s="2" t="s">
        <v>293</v>
      </c>
      <c r="D542" s="2">
        <v>4</v>
      </c>
      <c r="E542" s="2" t="s">
        <v>14</v>
      </c>
      <c r="F542" s="2" t="s">
        <v>282</v>
      </c>
      <c r="G542" s="3">
        <v>3.73</v>
      </c>
      <c r="H542" s="3">
        <v>-0.12</v>
      </c>
      <c r="I542" s="3">
        <v>13.47</v>
      </c>
      <c r="J542" s="3">
        <v>7.07</v>
      </c>
      <c r="K542" s="3">
        <v>12.81</v>
      </c>
      <c r="L542" s="21">
        <v>10.54</v>
      </c>
      <c r="M542" s="3">
        <v>1.91</v>
      </c>
      <c r="N542" s="2" t="s">
        <v>16</v>
      </c>
      <c r="O542" s="4" t="s">
        <v>17</v>
      </c>
      <c r="P542" s="18" t="s">
        <v>350</v>
      </c>
      <c r="Q542" s="5">
        <f t="shared" si="32"/>
        <v>11.793000000000001</v>
      </c>
      <c r="R542" s="5">
        <f t="shared" si="33"/>
        <v>8.8049999999999997</v>
      </c>
      <c r="S542" s="5">
        <f t="shared" si="34"/>
        <v>7.36</v>
      </c>
      <c r="T542" s="23">
        <f>('Investor-Inputs'!$G$19 * Q542) + ('Investor-Inputs'!$J$19 * R542) + ('Investor-Inputs'!$N$19 * S542)</f>
        <v>60.349000000000004</v>
      </c>
      <c r="U542" s="27">
        <f t="shared" si="35"/>
        <v>240</v>
      </c>
    </row>
    <row r="543" spans="3:21" x14ac:dyDescent="0.25">
      <c r="C543" s="2" t="s">
        <v>294</v>
      </c>
      <c r="D543" s="2">
        <v>5</v>
      </c>
      <c r="E543" s="2" t="s">
        <v>14</v>
      </c>
      <c r="F543" s="2" t="s">
        <v>282</v>
      </c>
      <c r="G543" s="3">
        <v>18.52</v>
      </c>
      <c r="H543" s="3">
        <v>16.559999999999999</v>
      </c>
      <c r="I543" s="3">
        <v>23.85</v>
      </c>
      <c r="J543" s="3">
        <v>17.39</v>
      </c>
      <c r="K543" s="3">
        <v>25.57</v>
      </c>
      <c r="L543" s="21">
        <v>19.600000000000001</v>
      </c>
      <c r="M543" s="3">
        <v>3.22</v>
      </c>
      <c r="N543" s="2" t="s">
        <v>16</v>
      </c>
      <c r="O543" s="4" t="s">
        <v>28</v>
      </c>
      <c r="P543" s="18" t="s">
        <v>350</v>
      </c>
      <c r="Q543" s="5">
        <f t="shared" si="32"/>
        <v>22.325000000000003</v>
      </c>
      <c r="R543" s="5">
        <f t="shared" si="33"/>
        <v>18.495000000000001</v>
      </c>
      <c r="S543" s="5">
        <f t="shared" si="34"/>
        <v>14.395</v>
      </c>
      <c r="T543" s="23">
        <f>('Investor-Inputs'!$G$19 * Q543) + ('Investor-Inputs'!$J$19 * R543) + ('Investor-Inputs'!$N$19 * S543)</f>
        <v>118.36</v>
      </c>
      <c r="U543" s="27">
        <f t="shared" si="35"/>
        <v>17</v>
      </c>
    </row>
    <row r="544" spans="3:21" x14ac:dyDescent="0.25">
      <c r="C544" s="2" t="s">
        <v>295</v>
      </c>
      <c r="D544" s="2">
        <v>4</v>
      </c>
      <c r="E544" s="2" t="s">
        <v>14</v>
      </c>
      <c r="F544" s="2" t="s">
        <v>282</v>
      </c>
      <c r="G544" s="3">
        <v>6.46</v>
      </c>
      <c r="H544" s="3">
        <v>4.26</v>
      </c>
      <c r="I544" s="3">
        <v>14.29</v>
      </c>
      <c r="J544" s="3">
        <v>10.130000000000001</v>
      </c>
      <c r="K544" s="3">
        <v>12.04</v>
      </c>
      <c r="L544" s="21">
        <v>10.99</v>
      </c>
      <c r="M544" s="3">
        <v>1.31</v>
      </c>
      <c r="N544" s="2" t="s">
        <v>16</v>
      </c>
      <c r="O544" s="4" t="s">
        <v>24</v>
      </c>
      <c r="P544" s="18" t="s">
        <v>350</v>
      </c>
      <c r="Q544" s="5">
        <f t="shared" si="32"/>
        <v>11.736000000000001</v>
      </c>
      <c r="R544" s="5">
        <f t="shared" si="33"/>
        <v>10.56</v>
      </c>
      <c r="S544" s="5">
        <f t="shared" si="34"/>
        <v>6.6749999999999998</v>
      </c>
      <c r="T544" s="23">
        <f>('Investor-Inputs'!$G$19 * Q544) + ('Investor-Inputs'!$J$19 * R544) + ('Investor-Inputs'!$N$19 * S544)</f>
        <v>63.003</v>
      </c>
      <c r="U544" s="27">
        <f t="shared" si="35"/>
        <v>222</v>
      </c>
    </row>
    <row r="545" spans="3:21" x14ac:dyDescent="0.25">
      <c r="C545" s="2" t="s">
        <v>296</v>
      </c>
      <c r="D545" s="2">
        <v>5</v>
      </c>
      <c r="E545" s="2" t="s">
        <v>14</v>
      </c>
      <c r="F545" s="2" t="s">
        <v>282</v>
      </c>
      <c r="G545" s="3">
        <v>1.95</v>
      </c>
      <c r="H545" s="3">
        <v>-2</v>
      </c>
      <c r="I545" s="3">
        <v>14.14</v>
      </c>
      <c r="J545" s="3">
        <v>6.97</v>
      </c>
      <c r="K545" s="3">
        <v>13.8</v>
      </c>
      <c r="L545" s="21">
        <v>10.91</v>
      </c>
      <c r="M545" s="3">
        <v>1.85</v>
      </c>
      <c r="N545" s="2" t="s">
        <v>16</v>
      </c>
      <c r="O545" s="4" t="s">
        <v>17</v>
      </c>
      <c r="P545" s="18" t="s">
        <v>350</v>
      </c>
      <c r="Q545" s="5">
        <f t="shared" si="32"/>
        <v>12.556000000000001</v>
      </c>
      <c r="R545" s="5">
        <f t="shared" si="33"/>
        <v>8.94</v>
      </c>
      <c r="S545" s="5">
        <f t="shared" si="34"/>
        <v>7.8250000000000002</v>
      </c>
      <c r="T545" s="23">
        <f>('Investor-Inputs'!$G$19 * Q545) + ('Investor-Inputs'!$J$19 * R545) + ('Investor-Inputs'!$N$19 * S545)</f>
        <v>63.373000000000005</v>
      </c>
      <c r="U545" s="27">
        <f t="shared" si="35"/>
        <v>218</v>
      </c>
    </row>
    <row r="546" spans="3:21" x14ac:dyDescent="0.25">
      <c r="C546" s="2" t="s">
        <v>297</v>
      </c>
      <c r="D546" s="2">
        <v>4</v>
      </c>
      <c r="E546" s="2" t="s">
        <v>14</v>
      </c>
      <c r="F546" s="2" t="s">
        <v>298</v>
      </c>
      <c r="G546" s="3">
        <v>4.6500000000000004</v>
      </c>
      <c r="H546" s="3">
        <v>2.83</v>
      </c>
      <c r="I546" s="3">
        <v>8.58</v>
      </c>
      <c r="J546" s="3">
        <v>6.85</v>
      </c>
      <c r="K546" s="3">
        <v>8.1300000000000008</v>
      </c>
      <c r="L546" s="21">
        <v>7.51</v>
      </c>
      <c r="M546" s="3">
        <v>1.8</v>
      </c>
      <c r="N546" s="2" t="s">
        <v>242</v>
      </c>
      <c r="O546" s="4" t="s">
        <v>24</v>
      </c>
      <c r="P546" s="18" t="s">
        <v>350</v>
      </c>
      <c r="Q546" s="5">
        <f t="shared" si="32"/>
        <v>7.4970000000000008</v>
      </c>
      <c r="R546" s="5">
        <f t="shared" si="33"/>
        <v>7.18</v>
      </c>
      <c r="S546" s="5">
        <f t="shared" si="34"/>
        <v>4.9650000000000007</v>
      </c>
      <c r="T546" s="23">
        <f>('Investor-Inputs'!$G$19 * Q546) + ('Investor-Inputs'!$J$19 * R546) + ('Investor-Inputs'!$N$19 * S546)</f>
        <v>41.816000000000003</v>
      </c>
      <c r="U546" s="27">
        <f t="shared" si="35"/>
        <v>307</v>
      </c>
    </row>
    <row r="547" spans="3:21" x14ac:dyDescent="0.25">
      <c r="C547" s="2" t="s">
        <v>299</v>
      </c>
      <c r="D547" s="2">
        <v>4</v>
      </c>
      <c r="E547" s="2" t="s">
        <v>14</v>
      </c>
      <c r="F547" s="2" t="s">
        <v>298</v>
      </c>
      <c r="G547" s="3">
        <v>4.5199999999999996</v>
      </c>
      <c r="H547" s="3">
        <v>3.33</v>
      </c>
      <c r="I547" s="3">
        <v>7.04</v>
      </c>
      <c r="J547" s="3">
        <v>4.96</v>
      </c>
      <c r="K547" s="3">
        <v>10.19</v>
      </c>
      <c r="L547" s="21">
        <v>7.39</v>
      </c>
      <c r="M547" s="3">
        <v>2.19</v>
      </c>
      <c r="N547" s="2" t="s">
        <v>242</v>
      </c>
      <c r="O547" s="4" t="s">
        <v>28</v>
      </c>
      <c r="P547" s="18" t="s">
        <v>350</v>
      </c>
      <c r="Q547" s="5">
        <f t="shared" si="32"/>
        <v>7.9109999999999996</v>
      </c>
      <c r="R547" s="5">
        <f t="shared" si="33"/>
        <v>6.1749999999999998</v>
      </c>
      <c r="S547" s="5">
        <f t="shared" si="34"/>
        <v>6.1899999999999995</v>
      </c>
      <c r="T547" s="23">
        <f>('Investor-Inputs'!$G$19 * Q547) + ('Investor-Inputs'!$J$19 * R547) + ('Investor-Inputs'!$N$19 * S547)</f>
        <v>42.272999999999996</v>
      </c>
      <c r="U547" s="27">
        <f t="shared" si="35"/>
        <v>301</v>
      </c>
    </row>
    <row r="548" spans="3:21" x14ac:dyDescent="0.25">
      <c r="C548" s="2" t="s">
        <v>300</v>
      </c>
      <c r="D548" s="2">
        <v>4</v>
      </c>
      <c r="E548" s="2" t="s">
        <v>14</v>
      </c>
      <c r="F548" s="2" t="s">
        <v>298</v>
      </c>
      <c r="G548" s="3">
        <v>2.98</v>
      </c>
      <c r="H548" s="3">
        <v>2.0499999999999998</v>
      </c>
      <c r="I548" s="3">
        <v>9.1300000000000008</v>
      </c>
      <c r="J548" s="3">
        <v>6.65</v>
      </c>
      <c r="K548" s="3">
        <v>7.52</v>
      </c>
      <c r="L548" s="21">
        <v>7.5</v>
      </c>
      <c r="M548" s="3">
        <v>1.64</v>
      </c>
      <c r="N548" s="2" t="s">
        <v>242</v>
      </c>
      <c r="O548" s="4" t="s">
        <v>24</v>
      </c>
      <c r="P548" s="18" t="s">
        <v>350</v>
      </c>
      <c r="Q548" s="5">
        <f t="shared" si="32"/>
        <v>7.4120000000000008</v>
      </c>
      <c r="R548" s="5">
        <f t="shared" si="33"/>
        <v>7.0750000000000002</v>
      </c>
      <c r="S548" s="5">
        <f t="shared" si="34"/>
        <v>4.58</v>
      </c>
      <c r="T548" s="23">
        <f>('Investor-Inputs'!$G$19 * Q548) + ('Investor-Inputs'!$J$19 * R548) + ('Investor-Inputs'!$N$19 * S548)</f>
        <v>40.966000000000001</v>
      </c>
      <c r="U548" s="27">
        <f t="shared" si="35"/>
        <v>313</v>
      </c>
    </row>
    <row r="549" spans="3:21" x14ac:dyDescent="0.25">
      <c r="C549" s="2" t="s">
        <v>301</v>
      </c>
      <c r="D549" s="2">
        <v>4</v>
      </c>
      <c r="E549" s="2" t="s">
        <v>14</v>
      </c>
      <c r="F549" s="2" t="s">
        <v>298</v>
      </c>
      <c r="G549" s="3">
        <v>0.83</v>
      </c>
      <c r="H549" s="3">
        <v>-0.06</v>
      </c>
      <c r="I549" s="3">
        <v>8.41</v>
      </c>
      <c r="J549" s="3">
        <v>5.12</v>
      </c>
      <c r="K549" s="3">
        <v>8.7100000000000009</v>
      </c>
      <c r="L549" s="21">
        <v>7.24</v>
      </c>
      <c r="M549" s="3">
        <v>1.73</v>
      </c>
      <c r="N549" s="2" t="s">
        <v>242</v>
      </c>
      <c r="O549" s="4" t="s">
        <v>17</v>
      </c>
      <c r="P549" s="18" t="s">
        <v>350</v>
      </c>
      <c r="Q549" s="5">
        <f t="shared" si="32"/>
        <v>7.7190000000000012</v>
      </c>
      <c r="R549" s="5">
        <f t="shared" si="33"/>
        <v>6.18</v>
      </c>
      <c r="S549" s="5">
        <f t="shared" si="34"/>
        <v>5.2200000000000006</v>
      </c>
      <c r="T549" s="23">
        <f>('Investor-Inputs'!$G$19 * Q549) + ('Investor-Inputs'!$J$19 * R549) + ('Investor-Inputs'!$N$19 * S549)</f>
        <v>40.737000000000002</v>
      </c>
      <c r="U549" s="27">
        <f t="shared" si="35"/>
        <v>317</v>
      </c>
    </row>
    <row r="550" spans="3:21" x14ac:dyDescent="0.25">
      <c r="C550" s="2" t="s">
        <v>302</v>
      </c>
      <c r="D550" s="2">
        <v>5</v>
      </c>
      <c r="E550" s="2" t="s">
        <v>14</v>
      </c>
      <c r="F550" s="2" t="s">
        <v>298</v>
      </c>
      <c r="G550" s="3">
        <v>4.6100000000000003</v>
      </c>
      <c r="H550" s="3">
        <v>2.54</v>
      </c>
      <c r="I550" s="3">
        <v>9.4600000000000009</v>
      </c>
      <c r="J550" s="3">
        <v>7.05</v>
      </c>
      <c r="K550" s="3">
        <v>8.56</v>
      </c>
      <c r="L550" s="21">
        <v>8.0500000000000007</v>
      </c>
      <c r="M550" s="3">
        <v>1.78</v>
      </c>
      <c r="N550" s="2" t="s">
        <v>28</v>
      </c>
      <c r="O550" s="4" t="s">
        <v>17</v>
      </c>
      <c r="P550" s="18" t="s">
        <v>350</v>
      </c>
      <c r="Q550" s="5">
        <f t="shared" si="32"/>
        <v>8.0640000000000001</v>
      </c>
      <c r="R550" s="5">
        <f t="shared" si="33"/>
        <v>7.5500000000000007</v>
      </c>
      <c r="S550" s="5">
        <f t="shared" si="34"/>
        <v>5.17</v>
      </c>
      <c r="T550" s="23">
        <f>('Investor-Inputs'!$G$19 * Q550) + ('Investor-Inputs'!$J$19 * R550) + ('Investor-Inputs'!$N$19 * S550)</f>
        <v>44.462000000000003</v>
      </c>
      <c r="U550" s="27">
        <f t="shared" si="35"/>
        <v>297</v>
      </c>
    </row>
    <row r="551" spans="3:21" x14ac:dyDescent="0.25">
      <c r="C551" s="2" t="s">
        <v>303</v>
      </c>
      <c r="D551" s="2">
        <v>4</v>
      </c>
      <c r="E551" s="2" t="s">
        <v>14</v>
      </c>
      <c r="F551" s="2" t="s">
        <v>298</v>
      </c>
      <c r="G551" s="3">
        <v>6.66</v>
      </c>
      <c r="H551" s="3">
        <v>3.78</v>
      </c>
      <c r="I551" s="3">
        <v>10.65</v>
      </c>
      <c r="J551" s="3">
        <v>7.52</v>
      </c>
      <c r="K551" s="3">
        <v>8.02</v>
      </c>
      <c r="L551" s="21">
        <v>8.35</v>
      </c>
      <c r="M551" s="3">
        <v>2.54</v>
      </c>
      <c r="N551" s="2" t="s">
        <v>28</v>
      </c>
      <c r="O551" s="4" t="s">
        <v>17</v>
      </c>
      <c r="P551" s="18" t="s">
        <v>350</v>
      </c>
      <c r="Q551" s="5">
        <f t="shared" si="32"/>
        <v>8.27</v>
      </c>
      <c r="R551" s="5">
        <f t="shared" si="33"/>
        <v>7.9349999999999996</v>
      </c>
      <c r="S551" s="5">
        <f t="shared" si="34"/>
        <v>5.2799999999999994</v>
      </c>
      <c r="T551" s="23">
        <f>('Investor-Inputs'!$G$19 * Q551) + ('Investor-Inputs'!$J$19 * R551) + ('Investor-Inputs'!$N$19 * S551)</f>
        <v>45.96</v>
      </c>
      <c r="U551" s="27">
        <f t="shared" si="35"/>
        <v>291</v>
      </c>
    </row>
    <row r="552" spans="3:21" x14ac:dyDescent="0.25">
      <c r="C552" s="2" t="s">
        <v>304</v>
      </c>
      <c r="D552" s="2">
        <v>5</v>
      </c>
      <c r="E552" s="2" t="s">
        <v>14</v>
      </c>
      <c r="F552" s="2" t="s">
        <v>298</v>
      </c>
      <c r="G552" s="3">
        <v>6.85</v>
      </c>
      <c r="H552" s="3">
        <v>5.35</v>
      </c>
      <c r="I552" s="3">
        <v>8.1199999999999992</v>
      </c>
      <c r="J552" s="3">
        <v>7.51</v>
      </c>
      <c r="K552" s="3">
        <v>8</v>
      </c>
      <c r="L552" s="21">
        <v>7.83</v>
      </c>
      <c r="M552" s="3">
        <v>1.8</v>
      </c>
      <c r="N552" s="2" t="s">
        <v>28</v>
      </c>
      <c r="O552" s="4" t="s">
        <v>24</v>
      </c>
      <c r="P552" s="18" t="s">
        <v>350</v>
      </c>
      <c r="Q552" s="5">
        <f t="shared" si="32"/>
        <v>7.2479999999999993</v>
      </c>
      <c r="R552" s="5">
        <f t="shared" si="33"/>
        <v>7.67</v>
      </c>
      <c r="S552" s="5">
        <f t="shared" si="34"/>
        <v>4.9000000000000004</v>
      </c>
      <c r="T552" s="23">
        <f>('Investor-Inputs'!$G$19 * Q552) + ('Investor-Inputs'!$J$19 * R552) + ('Investor-Inputs'!$N$19 * S552)</f>
        <v>41.984000000000002</v>
      </c>
      <c r="U552" s="27">
        <f t="shared" si="35"/>
        <v>305</v>
      </c>
    </row>
    <row r="553" spans="3:21" x14ac:dyDescent="0.25">
      <c r="C553" s="2" t="s">
        <v>305</v>
      </c>
      <c r="D553" s="2">
        <v>5</v>
      </c>
      <c r="E553" s="2" t="s">
        <v>14</v>
      </c>
      <c r="F553" s="2" t="s">
        <v>298</v>
      </c>
      <c r="G553" s="3">
        <v>4.8</v>
      </c>
      <c r="H553" s="3">
        <v>4.03</v>
      </c>
      <c r="I553" s="3">
        <v>10.36</v>
      </c>
      <c r="J553" s="3">
        <v>8.0299999999999994</v>
      </c>
      <c r="K553" s="2"/>
      <c r="L553" s="20"/>
      <c r="M553" s="3">
        <v>0.62</v>
      </c>
      <c r="N553" s="2" t="s">
        <v>242</v>
      </c>
      <c r="O553" s="4" t="s">
        <v>28</v>
      </c>
      <c r="P553" s="18" t="s">
        <v>350</v>
      </c>
      <c r="Q553" s="5">
        <f t="shared" si="32"/>
        <v>4.1440000000000001</v>
      </c>
      <c r="R553" s="5">
        <f t="shared" si="33"/>
        <v>4.0149999999999997</v>
      </c>
      <c r="S553" s="5">
        <f t="shared" si="34"/>
        <v>0.31</v>
      </c>
      <c r="T553" s="23">
        <f>('Investor-Inputs'!$G$19 * Q553) + ('Investor-Inputs'!$J$19 * R553) + ('Investor-Inputs'!$N$19 * S553)</f>
        <v>20.771999999999998</v>
      </c>
      <c r="U553" s="27">
        <f t="shared" si="35"/>
        <v>575</v>
      </c>
    </row>
    <row r="554" spans="3:21" x14ac:dyDescent="0.25">
      <c r="C554" s="2" t="s">
        <v>306</v>
      </c>
      <c r="D554" s="2">
        <v>5</v>
      </c>
      <c r="E554" s="2" t="s">
        <v>14</v>
      </c>
      <c r="F554" s="2" t="s">
        <v>298</v>
      </c>
      <c r="G554" s="3">
        <v>4.71</v>
      </c>
      <c r="H554" s="3">
        <v>5.18</v>
      </c>
      <c r="I554" s="3">
        <v>11.87</v>
      </c>
      <c r="J554" s="3">
        <v>8.4</v>
      </c>
      <c r="K554" s="3">
        <v>11.2</v>
      </c>
      <c r="L554" s="21">
        <v>9.86</v>
      </c>
      <c r="M554" s="3">
        <v>1.25</v>
      </c>
      <c r="N554" s="2" t="s">
        <v>242</v>
      </c>
      <c r="O554" s="4" t="s">
        <v>28</v>
      </c>
      <c r="P554" s="18" t="s">
        <v>350</v>
      </c>
      <c r="Q554" s="5">
        <f t="shared" si="32"/>
        <v>10.347999999999999</v>
      </c>
      <c r="R554" s="5">
        <f t="shared" si="33"/>
        <v>9.129999999999999</v>
      </c>
      <c r="S554" s="5">
        <f t="shared" si="34"/>
        <v>6.2249999999999996</v>
      </c>
      <c r="T554" s="23">
        <f>('Investor-Inputs'!$G$19 * Q554) + ('Investor-Inputs'!$J$19 * R554) + ('Investor-Inputs'!$N$19 * S554)</f>
        <v>55.528999999999996</v>
      </c>
      <c r="U554" s="27">
        <f t="shared" si="35"/>
        <v>264</v>
      </c>
    </row>
    <row r="555" spans="3:21" x14ac:dyDescent="0.25">
      <c r="C555" s="2" t="s">
        <v>307</v>
      </c>
      <c r="D555" s="2">
        <v>4</v>
      </c>
      <c r="E555" s="2" t="s">
        <v>14</v>
      </c>
      <c r="F555" s="2" t="s">
        <v>298</v>
      </c>
      <c r="G555" s="3">
        <v>5.17</v>
      </c>
      <c r="H555" s="3">
        <v>3.87</v>
      </c>
      <c r="I555" s="3">
        <v>9.31</v>
      </c>
      <c r="J555" s="3">
        <v>6.91</v>
      </c>
      <c r="K555" s="3">
        <v>9.06</v>
      </c>
      <c r="L555" s="21">
        <v>8.14</v>
      </c>
      <c r="M555" s="3">
        <v>1.5</v>
      </c>
      <c r="N555" s="2" t="s">
        <v>28</v>
      </c>
      <c r="O555" s="4" t="s">
        <v>28</v>
      </c>
      <c r="P555" s="18" t="s">
        <v>350</v>
      </c>
      <c r="Q555" s="5">
        <f t="shared" si="32"/>
        <v>8.2540000000000013</v>
      </c>
      <c r="R555" s="5">
        <f t="shared" si="33"/>
        <v>7.5250000000000004</v>
      </c>
      <c r="S555" s="5">
        <f t="shared" si="34"/>
        <v>5.28</v>
      </c>
      <c r="T555" s="23">
        <f>('Investor-Inputs'!$G$19 * Q555) + ('Investor-Inputs'!$J$19 * R555) + ('Investor-Inputs'!$N$19 * S555)</f>
        <v>45.092000000000006</v>
      </c>
      <c r="U555" s="27">
        <f t="shared" si="35"/>
        <v>295</v>
      </c>
    </row>
    <row r="556" spans="3:21" x14ac:dyDescent="0.25">
      <c r="C556" s="2" t="s">
        <v>308</v>
      </c>
      <c r="D556" s="2">
        <v>4</v>
      </c>
      <c r="E556" s="2" t="s">
        <v>14</v>
      </c>
      <c r="F556" s="2" t="s">
        <v>309</v>
      </c>
      <c r="G556" s="3">
        <v>1.98</v>
      </c>
      <c r="H556" s="3">
        <v>0.84</v>
      </c>
      <c r="I556" s="3">
        <v>9.2799999999999994</v>
      </c>
      <c r="J556" s="3">
        <v>6.13</v>
      </c>
      <c r="K556" s="3">
        <v>8.23</v>
      </c>
      <c r="L556" s="21">
        <v>7.43</v>
      </c>
      <c r="M556" s="3">
        <v>1.94</v>
      </c>
      <c r="N556" s="2" t="s">
        <v>171</v>
      </c>
      <c r="O556" s="4" t="s">
        <v>24</v>
      </c>
      <c r="P556" s="18" t="s">
        <v>350</v>
      </c>
      <c r="Q556" s="5">
        <f t="shared" si="32"/>
        <v>7.827</v>
      </c>
      <c r="R556" s="5">
        <f t="shared" si="33"/>
        <v>6.7799999999999994</v>
      </c>
      <c r="S556" s="5">
        <f t="shared" si="34"/>
        <v>5.085</v>
      </c>
      <c r="T556" s="23">
        <f>('Investor-Inputs'!$G$19 * Q556) + ('Investor-Inputs'!$J$19 * R556) + ('Investor-Inputs'!$N$19 * S556)</f>
        <v>42.125999999999998</v>
      </c>
      <c r="U556" s="27">
        <f t="shared" si="35"/>
        <v>303</v>
      </c>
    </row>
    <row r="557" spans="3:21" x14ac:dyDescent="0.25">
      <c r="C557" s="2" t="s">
        <v>310</v>
      </c>
      <c r="D557" s="2">
        <v>5</v>
      </c>
      <c r="E557" s="2" t="s">
        <v>14</v>
      </c>
      <c r="F557" s="2" t="s">
        <v>309</v>
      </c>
      <c r="G557" s="3">
        <v>7.32</v>
      </c>
      <c r="H557" s="3">
        <v>5.76</v>
      </c>
      <c r="I557" s="3">
        <v>11</v>
      </c>
      <c r="J557" s="3">
        <v>8.67</v>
      </c>
      <c r="K557" s="3">
        <v>9.34</v>
      </c>
      <c r="L557" s="21">
        <v>9.18</v>
      </c>
      <c r="M557" s="3">
        <v>2.1</v>
      </c>
      <c r="N557" s="2" t="s">
        <v>171</v>
      </c>
      <c r="O557" s="4" t="s">
        <v>17</v>
      </c>
      <c r="P557" s="18" t="s">
        <v>350</v>
      </c>
      <c r="Q557" s="5">
        <f t="shared" si="32"/>
        <v>9.07</v>
      </c>
      <c r="R557" s="5">
        <f t="shared" si="33"/>
        <v>8.9250000000000007</v>
      </c>
      <c r="S557" s="5">
        <f t="shared" si="34"/>
        <v>5.72</v>
      </c>
      <c r="T557" s="23">
        <f>('Investor-Inputs'!$G$19 * Q557) + ('Investor-Inputs'!$J$19 * R557) + ('Investor-Inputs'!$N$19 * S557)</f>
        <v>50.78</v>
      </c>
      <c r="U557" s="27">
        <f t="shared" si="35"/>
        <v>279</v>
      </c>
    </row>
    <row r="558" spans="3:21" x14ac:dyDescent="0.25">
      <c r="C558" s="2" t="s">
        <v>311</v>
      </c>
      <c r="D558" s="2">
        <v>4</v>
      </c>
      <c r="E558" s="2" t="s">
        <v>14</v>
      </c>
      <c r="F558" s="2" t="s">
        <v>309</v>
      </c>
      <c r="G558" s="3">
        <v>12.29</v>
      </c>
      <c r="H558" s="3">
        <v>10.69</v>
      </c>
      <c r="I558" s="3">
        <v>13.62</v>
      </c>
      <c r="J558" s="3">
        <v>10.62</v>
      </c>
      <c r="K558" s="3">
        <v>11.46</v>
      </c>
      <c r="L558" s="21">
        <v>11.25</v>
      </c>
      <c r="M558" s="3">
        <v>5.53</v>
      </c>
      <c r="N558" s="2" t="s">
        <v>242</v>
      </c>
      <c r="O558" s="4" t="s">
        <v>28</v>
      </c>
      <c r="P558" s="18" t="s">
        <v>350</v>
      </c>
      <c r="Q558" s="5">
        <f t="shared" si="32"/>
        <v>11.178000000000001</v>
      </c>
      <c r="R558" s="5">
        <f t="shared" si="33"/>
        <v>10.934999999999999</v>
      </c>
      <c r="S558" s="5">
        <f t="shared" si="34"/>
        <v>8.495000000000001</v>
      </c>
      <c r="T558" s="23">
        <f>('Investor-Inputs'!$G$19 * Q558) + ('Investor-Inputs'!$J$19 * R558) + ('Investor-Inputs'!$N$19 * S558)</f>
        <v>63.899000000000001</v>
      </c>
      <c r="U558" s="27">
        <f t="shared" si="35"/>
        <v>216</v>
      </c>
    </row>
    <row r="559" spans="3:21" x14ac:dyDescent="0.25">
      <c r="C559" s="2" t="s">
        <v>312</v>
      </c>
      <c r="D559" s="2">
        <v>5</v>
      </c>
      <c r="E559" s="2" t="s">
        <v>14</v>
      </c>
      <c r="F559" s="2" t="s">
        <v>309</v>
      </c>
      <c r="G559" s="3">
        <v>3.8</v>
      </c>
      <c r="H559" s="3">
        <v>1.42</v>
      </c>
      <c r="I559" s="3">
        <v>7.8</v>
      </c>
      <c r="J559" s="3">
        <v>5.72</v>
      </c>
      <c r="K559" s="3">
        <v>7.48</v>
      </c>
      <c r="L559" s="21">
        <v>6.84</v>
      </c>
      <c r="M559" s="3">
        <v>5.28</v>
      </c>
      <c r="N559" s="2" t="s">
        <v>171</v>
      </c>
      <c r="O559" s="4" t="s">
        <v>110</v>
      </c>
      <c r="P559" s="18" t="s">
        <v>350</v>
      </c>
      <c r="Q559" s="5">
        <f t="shared" si="32"/>
        <v>6.86</v>
      </c>
      <c r="R559" s="5">
        <f t="shared" si="33"/>
        <v>6.2799999999999994</v>
      </c>
      <c r="S559" s="5">
        <f t="shared" si="34"/>
        <v>6.3800000000000008</v>
      </c>
      <c r="T559" s="23">
        <f>('Investor-Inputs'!$G$19 * Q559) + ('Investor-Inputs'!$J$19 * R559) + ('Investor-Inputs'!$N$19 * S559)</f>
        <v>39.520000000000003</v>
      </c>
      <c r="U559" s="27">
        <f t="shared" si="35"/>
        <v>327</v>
      </c>
    </row>
    <row r="560" spans="3:21" x14ac:dyDescent="0.25">
      <c r="C560" s="2" t="s">
        <v>313</v>
      </c>
      <c r="D560" s="2">
        <v>4</v>
      </c>
      <c r="E560" s="2" t="s">
        <v>14</v>
      </c>
      <c r="F560" s="2" t="s">
        <v>309</v>
      </c>
      <c r="G560" s="3">
        <v>6.5</v>
      </c>
      <c r="H560" s="3">
        <v>4.74</v>
      </c>
      <c r="I560" s="3">
        <v>10.74</v>
      </c>
      <c r="J560" s="3">
        <v>7.65</v>
      </c>
      <c r="K560" s="3">
        <v>10.039999999999999</v>
      </c>
      <c r="L560" s="21">
        <v>9.17</v>
      </c>
      <c r="M560" s="3">
        <v>1.8</v>
      </c>
      <c r="N560" s="2" t="s">
        <v>242</v>
      </c>
      <c r="O560" s="4" t="s">
        <v>28</v>
      </c>
      <c r="P560" s="18" t="s">
        <v>350</v>
      </c>
      <c r="Q560" s="5">
        <f t="shared" si="32"/>
        <v>9.3159999999999989</v>
      </c>
      <c r="R560" s="5">
        <f t="shared" si="33"/>
        <v>8.41</v>
      </c>
      <c r="S560" s="5">
        <f t="shared" si="34"/>
        <v>5.92</v>
      </c>
      <c r="T560" s="23">
        <f>('Investor-Inputs'!$G$19 * Q560) + ('Investor-Inputs'!$J$19 * R560) + ('Investor-Inputs'!$N$19 * S560)</f>
        <v>50.688000000000002</v>
      </c>
      <c r="U560" s="27">
        <f t="shared" si="35"/>
        <v>281</v>
      </c>
    </row>
    <row r="561" spans="3:21" x14ac:dyDescent="0.25">
      <c r="C561" s="2" t="s">
        <v>314</v>
      </c>
      <c r="D561" s="2">
        <v>4</v>
      </c>
      <c r="E561" s="2" t="s">
        <v>14</v>
      </c>
      <c r="F561" s="2" t="s">
        <v>309</v>
      </c>
      <c r="G561" s="3">
        <v>3.81</v>
      </c>
      <c r="H561" s="3">
        <v>2.31</v>
      </c>
      <c r="I561" s="3">
        <v>9.5399999999999991</v>
      </c>
      <c r="J561" s="3">
        <v>6.36</v>
      </c>
      <c r="K561" s="3">
        <v>9.23</v>
      </c>
      <c r="L561" s="21">
        <v>8.16</v>
      </c>
      <c r="M561" s="3">
        <v>1.72</v>
      </c>
      <c r="N561" s="2" t="s">
        <v>242</v>
      </c>
      <c r="O561" s="4" t="s">
        <v>17</v>
      </c>
      <c r="P561" s="18" t="s">
        <v>350</v>
      </c>
      <c r="Q561" s="5">
        <f t="shared" si="32"/>
        <v>8.4310000000000009</v>
      </c>
      <c r="R561" s="5">
        <f t="shared" si="33"/>
        <v>7.26</v>
      </c>
      <c r="S561" s="5">
        <f t="shared" si="34"/>
        <v>5.4750000000000005</v>
      </c>
      <c r="T561" s="23">
        <f>('Investor-Inputs'!$G$19 * Q561) + ('Investor-Inputs'!$J$19 * R561) + ('Investor-Inputs'!$N$19 * S561)</f>
        <v>45.288000000000004</v>
      </c>
      <c r="U561" s="27">
        <f t="shared" si="35"/>
        <v>293</v>
      </c>
    </row>
    <row r="562" spans="3:21" x14ac:dyDescent="0.25">
      <c r="C562" s="2" t="s">
        <v>315</v>
      </c>
      <c r="D562" s="2">
        <v>4</v>
      </c>
      <c r="E562" s="2" t="s">
        <v>14</v>
      </c>
      <c r="F562" s="2" t="s">
        <v>316</v>
      </c>
      <c r="G562" s="3">
        <v>5.78</v>
      </c>
      <c r="H562" s="3">
        <v>5.82</v>
      </c>
      <c r="I562" s="3">
        <v>6.87</v>
      </c>
      <c r="J562" s="3">
        <v>6.55</v>
      </c>
      <c r="K562" s="3">
        <v>5.89</v>
      </c>
      <c r="L562" s="21">
        <v>6.44</v>
      </c>
      <c r="M562" s="3">
        <v>1.81</v>
      </c>
      <c r="N562" s="2" t="s">
        <v>229</v>
      </c>
      <c r="O562" s="4" t="s">
        <v>17</v>
      </c>
      <c r="P562" s="18" t="s">
        <v>350</v>
      </c>
      <c r="Q562" s="5">
        <f t="shared" si="32"/>
        <v>5.6929999999999996</v>
      </c>
      <c r="R562" s="5">
        <f t="shared" si="33"/>
        <v>6.4950000000000001</v>
      </c>
      <c r="S562" s="5">
        <f t="shared" si="34"/>
        <v>3.8499999999999996</v>
      </c>
      <c r="T562" s="23">
        <f>('Investor-Inputs'!$G$19 * Q562) + ('Investor-Inputs'!$J$19 * R562) + ('Investor-Inputs'!$N$19 * S562)</f>
        <v>33.919000000000004</v>
      </c>
      <c r="U562" s="27">
        <f t="shared" si="35"/>
        <v>436</v>
      </c>
    </row>
    <row r="563" spans="3:21" x14ac:dyDescent="0.25">
      <c r="C563" s="2" t="s">
        <v>317</v>
      </c>
      <c r="D563" s="2">
        <v>4</v>
      </c>
      <c r="E563" s="2" t="s">
        <v>14</v>
      </c>
      <c r="F563" s="2" t="s">
        <v>316</v>
      </c>
      <c r="G563" s="3">
        <v>5.77</v>
      </c>
      <c r="H563" s="3">
        <v>5.85</v>
      </c>
      <c r="I563" s="3">
        <v>6.81</v>
      </c>
      <c r="J563" s="3">
        <v>6.53</v>
      </c>
      <c r="K563" s="3">
        <v>5.9</v>
      </c>
      <c r="L563" s="21">
        <v>6.4</v>
      </c>
      <c r="M563" s="3">
        <v>2.5099999999999998</v>
      </c>
      <c r="N563" s="2" t="s">
        <v>229</v>
      </c>
      <c r="O563" s="4" t="s">
        <v>24</v>
      </c>
      <c r="P563" s="18" t="s">
        <v>350</v>
      </c>
      <c r="Q563" s="5">
        <f t="shared" si="32"/>
        <v>5.6740000000000004</v>
      </c>
      <c r="R563" s="5">
        <f t="shared" si="33"/>
        <v>6.4649999999999999</v>
      </c>
      <c r="S563" s="5">
        <f t="shared" si="34"/>
        <v>4.2050000000000001</v>
      </c>
      <c r="T563" s="23">
        <f>('Investor-Inputs'!$G$19 * Q563) + ('Investor-Inputs'!$J$19 * R563) + ('Investor-Inputs'!$N$19 * S563)</f>
        <v>34.157000000000004</v>
      </c>
      <c r="U563" s="27">
        <f t="shared" si="35"/>
        <v>416</v>
      </c>
    </row>
    <row r="564" spans="3:21" x14ac:dyDescent="0.25">
      <c r="C564" s="2" t="s">
        <v>318</v>
      </c>
      <c r="D564" s="2">
        <v>4</v>
      </c>
      <c r="E564" s="2" t="s">
        <v>14</v>
      </c>
      <c r="F564" s="2" t="s">
        <v>316</v>
      </c>
      <c r="G564" s="3">
        <v>5.84</v>
      </c>
      <c r="H564" s="3">
        <v>5.92</v>
      </c>
      <c r="I564" s="3">
        <v>6.92</v>
      </c>
      <c r="J564" s="3">
        <v>6.6</v>
      </c>
      <c r="K564" s="3">
        <v>5.93</v>
      </c>
      <c r="L564" s="21">
        <v>6.49</v>
      </c>
      <c r="M564" s="3">
        <v>7.31</v>
      </c>
      <c r="N564" s="2" t="s">
        <v>229</v>
      </c>
      <c r="O564" s="4" t="s">
        <v>17</v>
      </c>
      <c r="P564" s="18" t="s">
        <v>350</v>
      </c>
      <c r="Q564" s="5">
        <f t="shared" si="32"/>
        <v>5.7330000000000005</v>
      </c>
      <c r="R564" s="5">
        <f t="shared" si="33"/>
        <v>6.5449999999999999</v>
      </c>
      <c r="S564" s="5">
        <f t="shared" si="34"/>
        <v>6.6199999999999992</v>
      </c>
      <c r="T564" s="23">
        <f>('Investor-Inputs'!$G$19 * Q564) + ('Investor-Inputs'!$J$19 * R564) + ('Investor-Inputs'!$N$19 * S564)</f>
        <v>36.908999999999999</v>
      </c>
      <c r="U564" s="27">
        <f t="shared" si="35"/>
        <v>343</v>
      </c>
    </row>
    <row r="565" spans="3:21" x14ac:dyDescent="0.25">
      <c r="C565" s="2" t="s">
        <v>319</v>
      </c>
      <c r="D565" s="2">
        <v>4</v>
      </c>
      <c r="E565" s="2" t="s">
        <v>14</v>
      </c>
      <c r="F565" s="2" t="s">
        <v>316</v>
      </c>
      <c r="G565" s="3">
        <v>5.84</v>
      </c>
      <c r="H565" s="3">
        <v>5.91</v>
      </c>
      <c r="I565" s="3">
        <v>6.92</v>
      </c>
      <c r="J565" s="3">
        <v>6.61</v>
      </c>
      <c r="K565" s="3">
        <v>5.97</v>
      </c>
      <c r="L565" s="21">
        <v>6.5</v>
      </c>
      <c r="M565" s="3">
        <v>4.6500000000000004</v>
      </c>
      <c r="N565" s="2" t="s">
        <v>229</v>
      </c>
      <c r="O565" s="4" t="s">
        <v>17</v>
      </c>
      <c r="P565" s="18" t="s">
        <v>350</v>
      </c>
      <c r="Q565" s="5">
        <f t="shared" si="32"/>
        <v>5.7530000000000001</v>
      </c>
      <c r="R565" s="5">
        <f t="shared" si="33"/>
        <v>6.5549999999999997</v>
      </c>
      <c r="S565" s="5">
        <f t="shared" si="34"/>
        <v>5.3100000000000005</v>
      </c>
      <c r="T565" s="23">
        <f>('Investor-Inputs'!$G$19 * Q565) + ('Investor-Inputs'!$J$19 * R565) + ('Investor-Inputs'!$N$19 * S565)</f>
        <v>35.679000000000002</v>
      </c>
      <c r="U565" s="27">
        <f t="shared" si="35"/>
        <v>369</v>
      </c>
    </row>
    <row r="566" spans="3:21" x14ac:dyDescent="0.25">
      <c r="C566" s="2" t="s">
        <v>320</v>
      </c>
      <c r="D566" s="2">
        <v>5</v>
      </c>
      <c r="E566" s="2" t="s">
        <v>14</v>
      </c>
      <c r="F566" s="2" t="s">
        <v>316</v>
      </c>
      <c r="G566" s="3">
        <v>5.9</v>
      </c>
      <c r="H566" s="3">
        <v>5.95</v>
      </c>
      <c r="I566" s="3">
        <v>6.96</v>
      </c>
      <c r="J566" s="3">
        <v>6.62</v>
      </c>
      <c r="K566" s="3">
        <v>6.15</v>
      </c>
      <c r="L566" s="21">
        <v>6.62</v>
      </c>
      <c r="M566" s="3">
        <v>3.97</v>
      </c>
      <c r="N566" s="2" t="s">
        <v>229</v>
      </c>
      <c r="O566" s="4" t="s">
        <v>17</v>
      </c>
      <c r="P566" s="18" t="s">
        <v>350</v>
      </c>
      <c r="Q566" s="5">
        <f t="shared" si="32"/>
        <v>5.859</v>
      </c>
      <c r="R566" s="5">
        <f t="shared" si="33"/>
        <v>6.62</v>
      </c>
      <c r="S566" s="5">
        <f t="shared" si="34"/>
        <v>5.0600000000000005</v>
      </c>
      <c r="T566" s="23">
        <f>('Investor-Inputs'!$G$19 * Q566) + ('Investor-Inputs'!$J$19 * R566) + ('Investor-Inputs'!$N$19 * S566)</f>
        <v>35.877000000000002</v>
      </c>
      <c r="U566" s="27">
        <f t="shared" si="35"/>
        <v>357</v>
      </c>
    </row>
    <row r="567" spans="3:21" x14ac:dyDescent="0.25">
      <c r="C567" s="2" t="s">
        <v>321</v>
      </c>
      <c r="D567" s="2">
        <v>4</v>
      </c>
      <c r="E567" s="2" t="s">
        <v>14</v>
      </c>
      <c r="F567" s="2" t="s">
        <v>316</v>
      </c>
      <c r="G567" s="3">
        <v>5.85</v>
      </c>
      <c r="H567" s="3">
        <v>5.94</v>
      </c>
      <c r="I567" s="3">
        <v>7.06</v>
      </c>
      <c r="J567" s="3">
        <v>6.69</v>
      </c>
      <c r="K567" s="3">
        <v>6.14</v>
      </c>
      <c r="L567" s="21">
        <v>6.64</v>
      </c>
      <c r="M567" s="3">
        <v>3.34</v>
      </c>
      <c r="N567" s="2" t="s">
        <v>229</v>
      </c>
      <c r="O567" s="4" t="s">
        <v>28</v>
      </c>
      <c r="P567" s="18" t="s">
        <v>350</v>
      </c>
      <c r="Q567" s="5">
        <f t="shared" si="32"/>
        <v>5.8940000000000001</v>
      </c>
      <c r="R567" s="5">
        <f t="shared" si="33"/>
        <v>6.665</v>
      </c>
      <c r="S567" s="5">
        <f t="shared" si="34"/>
        <v>4.74</v>
      </c>
      <c r="T567" s="23">
        <f>('Investor-Inputs'!$G$19 * Q567) + ('Investor-Inputs'!$J$19 * R567) + ('Investor-Inputs'!$N$19 * S567)</f>
        <v>35.752000000000002</v>
      </c>
      <c r="U567" s="27">
        <f t="shared" si="35"/>
        <v>361</v>
      </c>
    </row>
    <row r="568" spans="3:21" x14ac:dyDescent="0.25">
      <c r="C568" s="2" t="s">
        <v>322</v>
      </c>
      <c r="D568" s="2">
        <v>5</v>
      </c>
      <c r="E568" s="2" t="s">
        <v>14</v>
      </c>
      <c r="F568" s="2" t="s">
        <v>316</v>
      </c>
      <c r="G568" s="3">
        <v>5.95</v>
      </c>
      <c r="H568" s="3">
        <v>5.93</v>
      </c>
      <c r="I568" s="3">
        <v>6.99</v>
      </c>
      <c r="J568" s="3">
        <v>6.63</v>
      </c>
      <c r="K568" s="3">
        <v>6.15</v>
      </c>
      <c r="L568" s="21">
        <v>6.61</v>
      </c>
      <c r="M568" s="3">
        <v>2.3199999999999998</v>
      </c>
      <c r="N568" s="2" t="s">
        <v>229</v>
      </c>
      <c r="O568" s="4" t="s">
        <v>28</v>
      </c>
      <c r="P568" s="18" t="s">
        <v>350</v>
      </c>
      <c r="Q568" s="5">
        <f t="shared" si="32"/>
        <v>5.8710000000000004</v>
      </c>
      <c r="R568" s="5">
        <f t="shared" si="33"/>
        <v>6.62</v>
      </c>
      <c r="S568" s="5">
        <f t="shared" si="34"/>
        <v>4.2350000000000003</v>
      </c>
      <c r="T568" s="23">
        <f>('Investor-Inputs'!$G$19 * Q568) + ('Investor-Inputs'!$J$19 * R568) + ('Investor-Inputs'!$N$19 * S568)</f>
        <v>35.088000000000001</v>
      </c>
      <c r="U568" s="27">
        <f t="shared" si="35"/>
        <v>391</v>
      </c>
    </row>
    <row r="569" spans="3:21" x14ac:dyDescent="0.25">
      <c r="C569" s="2" t="s">
        <v>323</v>
      </c>
      <c r="D569" s="2">
        <v>4</v>
      </c>
      <c r="E569" s="2" t="s">
        <v>14</v>
      </c>
      <c r="F569" s="2" t="s">
        <v>316</v>
      </c>
      <c r="G569" s="3">
        <v>5.84</v>
      </c>
      <c r="H569" s="3">
        <v>5.89</v>
      </c>
      <c r="I569" s="3">
        <v>6.85</v>
      </c>
      <c r="J569" s="3">
        <v>6.56</v>
      </c>
      <c r="K569" s="3">
        <v>5.86</v>
      </c>
      <c r="L569" s="21">
        <v>6.43</v>
      </c>
      <c r="M569" s="3">
        <v>1.91</v>
      </c>
      <c r="N569" s="2" t="s">
        <v>229</v>
      </c>
      <c r="O569" s="4" t="s">
        <v>24</v>
      </c>
      <c r="P569" s="18" t="s">
        <v>350</v>
      </c>
      <c r="Q569" s="5">
        <f t="shared" si="32"/>
        <v>5.67</v>
      </c>
      <c r="R569" s="5">
        <f t="shared" si="33"/>
        <v>6.4949999999999992</v>
      </c>
      <c r="S569" s="5">
        <f t="shared" si="34"/>
        <v>3.8850000000000002</v>
      </c>
      <c r="T569" s="23">
        <f>('Investor-Inputs'!$G$19 * Q569) + ('Investor-Inputs'!$J$19 * R569) + ('Investor-Inputs'!$N$19 * S569)</f>
        <v>33.884999999999998</v>
      </c>
      <c r="U569" s="27">
        <f t="shared" si="35"/>
        <v>438</v>
      </c>
    </row>
    <row r="570" spans="3:21" x14ac:dyDescent="0.25">
      <c r="C570" s="2" t="s">
        <v>324</v>
      </c>
      <c r="D570" s="2">
        <v>4</v>
      </c>
      <c r="E570" s="2" t="s">
        <v>14</v>
      </c>
      <c r="F570" s="2" t="s">
        <v>316</v>
      </c>
      <c r="G570" s="3">
        <v>5.89</v>
      </c>
      <c r="H570" s="3">
        <v>5.93</v>
      </c>
      <c r="I570" s="3">
        <v>7</v>
      </c>
      <c r="J570" s="3">
        <v>6.68</v>
      </c>
      <c r="K570" s="3">
        <v>5.98</v>
      </c>
      <c r="L570" s="21">
        <v>6.54</v>
      </c>
      <c r="M570" s="3">
        <v>2.38</v>
      </c>
      <c r="N570" s="2" t="s">
        <v>229</v>
      </c>
      <c r="O570" s="4" t="s">
        <v>17</v>
      </c>
      <c r="P570" s="18" t="s">
        <v>350</v>
      </c>
      <c r="Q570" s="5">
        <f t="shared" si="32"/>
        <v>5.7900000000000009</v>
      </c>
      <c r="R570" s="5">
        <f t="shared" si="33"/>
        <v>6.6099999999999994</v>
      </c>
      <c r="S570" s="5">
        <f t="shared" si="34"/>
        <v>4.18</v>
      </c>
      <c r="T570" s="23">
        <f>('Investor-Inputs'!$G$19 * Q570) + ('Investor-Inputs'!$J$19 * R570) + ('Investor-Inputs'!$N$19 * S570)</f>
        <v>34.770000000000003</v>
      </c>
      <c r="U570" s="27">
        <f t="shared" si="35"/>
        <v>403</v>
      </c>
    </row>
    <row r="571" spans="3:21" x14ac:dyDescent="0.25">
      <c r="C571" s="2" t="s">
        <v>325</v>
      </c>
      <c r="D571" s="2">
        <v>4</v>
      </c>
      <c r="E571" s="2" t="s">
        <v>14</v>
      </c>
      <c r="F571" s="2" t="s">
        <v>326</v>
      </c>
      <c r="G571" s="3">
        <v>5.18</v>
      </c>
      <c r="H571" s="3">
        <v>3.19</v>
      </c>
      <c r="I571" s="3">
        <v>12.25</v>
      </c>
      <c r="J571" s="3">
        <v>8.42</v>
      </c>
      <c r="K571" s="3">
        <v>10.36</v>
      </c>
      <c r="L571" s="21">
        <v>9.7899999999999991</v>
      </c>
      <c r="M571" s="3">
        <v>1.76</v>
      </c>
      <c r="N571" s="2" t="s">
        <v>16</v>
      </c>
      <c r="O571" s="4" t="s">
        <v>17</v>
      </c>
      <c r="P571" s="18" t="s">
        <v>350</v>
      </c>
      <c r="Q571" s="5">
        <f t="shared" si="32"/>
        <v>10.08</v>
      </c>
      <c r="R571" s="5">
        <f t="shared" si="33"/>
        <v>9.1050000000000004</v>
      </c>
      <c r="S571" s="5">
        <f t="shared" si="34"/>
        <v>6.06</v>
      </c>
      <c r="T571" s="23">
        <f>('Investor-Inputs'!$G$19 * Q571) + ('Investor-Inputs'!$J$19 * R571) + ('Investor-Inputs'!$N$19 * S571)</f>
        <v>54.510000000000005</v>
      </c>
      <c r="U571" s="27">
        <f t="shared" si="35"/>
        <v>271</v>
      </c>
    </row>
    <row r="572" spans="3:21" x14ac:dyDescent="0.25">
      <c r="C572" s="2" t="s">
        <v>327</v>
      </c>
      <c r="D572" s="2">
        <v>4</v>
      </c>
      <c r="E572" s="2" t="s">
        <v>14</v>
      </c>
      <c r="F572" s="2" t="s">
        <v>326</v>
      </c>
      <c r="G572" s="3">
        <v>2.09</v>
      </c>
      <c r="H572" s="3">
        <v>-0.09</v>
      </c>
      <c r="I572" s="3">
        <v>13.22</v>
      </c>
      <c r="J572" s="3">
        <v>7.52</v>
      </c>
      <c r="K572" s="3">
        <v>10.67</v>
      </c>
      <c r="L572" s="21">
        <v>9.59</v>
      </c>
      <c r="M572" s="3">
        <v>1.93</v>
      </c>
      <c r="N572" s="2" t="s">
        <v>16</v>
      </c>
      <c r="O572" s="4" t="s">
        <v>17</v>
      </c>
      <c r="P572" s="18" t="s">
        <v>350</v>
      </c>
      <c r="Q572" s="5">
        <f t="shared" si="32"/>
        <v>10.623000000000001</v>
      </c>
      <c r="R572" s="5">
        <f t="shared" si="33"/>
        <v>8.5549999999999997</v>
      </c>
      <c r="S572" s="5">
        <f t="shared" si="34"/>
        <v>6.3</v>
      </c>
      <c r="T572" s="23">
        <f>('Investor-Inputs'!$G$19 * Q572) + ('Investor-Inputs'!$J$19 * R572) + ('Investor-Inputs'!$N$19 * S572)</f>
        <v>55.278999999999996</v>
      </c>
      <c r="U572" s="27">
        <f t="shared" si="35"/>
        <v>266</v>
      </c>
    </row>
    <row r="573" spans="3:21" x14ac:dyDescent="0.25">
      <c r="C573" s="2" t="s">
        <v>328</v>
      </c>
      <c r="D573" s="2">
        <v>4</v>
      </c>
      <c r="E573" s="2" t="s">
        <v>14</v>
      </c>
      <c r="F573" s="2" t="s">
        <v>326</v>
      </c>
      <c r="G573" s="3">
        <v>4.2699999999999996</v>
      </c>
      <c r="H573" s="3">
        <v>1.9</v>
      </c>
      <c r="I573" s="3">
        <v>11.58</v>
      </c>
      <c r="J573" s="3">
        <v>7.54</v>
      </c>
      <c r="K573" s="3">
        <v>8.5299999999999994</v>
      </c>
      <c r="L573" s="21">
        <v>8.65</v>
      </c>
      <c r="M573" s="3">
        <v>1.93</v>
      </c>
      <c r="N573" s="2" t="s">
        <v>242</v>
      </c>
      <c r="O573" s="4" t="s">
        <v>24</v>
      </c>
      <c r="P573" s="18" t="s">
        <v>350</v>
      </c>
      <c r="Q573" s="5">
        <f t="shared" si="32"/>
        <v>8.8970000000000002</v>
      </c>
      <c r="R573" s="5">
        <f t="shared" si="33"/>
        <v>8.0950000000000006</v>
      </c>
      <c r="S573" s="5">
        <f t="shared" si="34"/>
        <v>5.2299999999999995</v>
      </c>
      <c r="T573" s="23">
        <f>('Investor-Inputs'!$G$19 * Q573) + ('Investor-Inputs'!$J$19 * R573) + ('Investor-Inputs'!$N$19 * S573)</f>
        <v>48.110999999999997</v>
      </c>
      <c r="U573" s="27">
        <f t="shared" si="35"/>
        <v>285</v>
      </c>
    </row>
    <row r="574" spans="3:21" x14ac:dyDescent="0.25">
      <c r="C574" s="2" t="s">
        <v>329</v>
      </c>
      <c r="D574" s="2">
        <v>4</v>
      </c>
      <c r="E574" s="2" t="s">
        <v>14</v>
      </c>
      <c r="F574" s="2" t="s">
        <v>326</v>
      </c>
      <c r="G574" s="3">
        <v>1.02</v>
      </c>
      <c r="H574" s="3">
        <v>-1.96</v>
      </c>
      <c r="I574" s="3">
        <v>11.51</v>
      </c>
      <c r="J574" s="3">
        <v>5.6</v>
      </c>
      <c r="K574" s="2"/>
      <c r="L574" s="20"/>
      <c r="M574" s="3">
        <v>2.14</v>
      </c>
      <c r="N574" s="2" t="s">
        <v>16</v>
      </c>
      <c r="O574" s="4" t="s">
        <v>24</v>
      </c>
      <c r="P574" s="18" t="s">
        <v>350</v>
      </c>
      <c r="Q574" s="5">
        <f t="shared" si="32"/>
        <v>4.6040000000000001</v>
      </c>
      <c r="R574" s="5">
        <f t="shared" si="33"/>
        <v>2.8</v>
      </c>
      <c r="S574" s="5">
        <f t="shared" si="34"/>
        <v>1.07</v>
      </c>
      <c r="T574" s="23">
        <f>('Investor-Inputs'!$G$19 * Q574) + ('Investor-Inputs'!$J$19 * R574) + ('Investor-Inputs'!$N$19 * S574)</f>
        <v>20.481999999999999</v>
      </c>
      <c r="U574" s="27">
        <f t="shared" si="35"/>
        <v>577</v>
      </c>
    </row>
    <row r="575" spans="3:21" x14ac:dyDescent="0.25">
      <c r="C575" s="2" t="s">
        <v>330</v>
      </c>
      <c r="D575" s="2">
        <v>5</v>
      </c>
      <c r="E575" s="2" t="s">
        <v>14</v>
      </c>
      <c r="F575" s="2" t="s">
        <v>326</v>
      </c>
      <c r="G575" s="3">
        <v>1.21</v>
      </c>
      <c r="H575" s="3">
        <v>-1.56</v>
      </c>
      <c r="I575" s="3">
        <v>11.76</v>
      </c>
      <c r="J575" s="3">
        <v>5.71</v>
      </c>
      <c r="K575" s="3">
        <v>13.24</v>
      </c>
      <c r="L575" s="21">
        <v>9.25</v>
      </c>
      <c r="M575" s="3">
        <v>1.99</v>
      </c>
      <c r="N575" s="2" t="s">
        <v>28</v>
      </c>
      <c r="O575" s="4" t="s">
        <v>28</v>
      </c>
      <c r="P575" s="18" t="s">
        <v>350</v>
      </c>
      <c r="Q575" s="5">
        <f t="shared" si="32"/>
        <v>11.324</v>
      </c>
      <c r="R575" s="5">
        <f t="shared" si="33"/>
        <v>7.48</v>
      </c>
      <c r="S575" s="5">
        <f t="shared" si="34"/>
        <v>7.6150000000000002</v>
      </c>
      <c r="T575" s="23">
        <f>('Investor-Inputs'!$G$19 * Q575) + ('Investor-Inputs'!$J$19 * R575) + ('Investor-Inputs'!$N$19 * S575)</f>
        <v>56.547000000000004</v>
      </c>
      <c r="U575" s="27">
        <f t="shared" si="35"/>
        <v>252</v>
      </c>
    </row>
    <row r="576" spans="3:21" x14ac:dyDescent="0.25">
      <c r="C576" s="2" t="s">
        <v>331</v>
      </c>
      <c r="D576" s="2">
        <v>5</v>
      </c>
      <c r="E576" s="2" t="s">
        <v>14</v>
      </c>
      <c r="F576" s="2" t="s">
        <v>326</v>
      </c>
      <c r="G576" s="3">
        <v>2.52</v>
      </c>
      <c r="H576" s="3">
        <v>-1.1299999999999999</v>
      </c>
      <c r="I576" s="3">
        <v>15.39</v>
      </c>
      <c r="J576" s="3">
        <v>7.48</v>
      </c>
      <c r="K576" s="3">
        <v>17.03</v>
      </c>
      <c r="L576" s="21">
        <v>13.08</v>
      </c>
      <c r="M576" s="3">
        <v>1.27</v>
      </c>
      <c r="N576" s="2" t="s">
        <v>16</v>
      </c>
      <c r="O576" s="4" t="s">
        <v>28</v>
      </c>
      <c r="P576" s="18" t="s">
        <v>350</v>
      </c>
      <c r="Q576" s="5">
        <f t="shared" si="32"/>
        <v>14.671000000000001</v>
      </c>
      <c r="R576" s="5">
        <f t="shared" si="33"/>
        <v>10.280000000000001</v>
      </c>
      <c r="S576" s="5">
        <f t="shared" si="34"/>
        <v>9.15</v>
      </c>
      <c r="T576" s="23">
        <f>('Investor-Inputs'!$G$19 * Q576) + ('Investor-Inputs'!$J$19 * R576) + ('Investor-Inputs'!$N$19 * S576)</f>
        <v>73.723000000000013</v>
      </c>
      <c r="U576" s="27">
        <f t="shared" si="35"/>
        <v>172</v>
      </c>
    </row>
    <row r="577" spans="3:21" x14ac:dyDescent="0.25">
      <c r="C577" s="2" t="s">
        <v>332</v>
      </c>
      <c r="D577" s="2">
        <v>4</v>
      </c>
      <c r="E577" s="2" t="s">
        <v>14</v>
      </c>
      <c r="F577" s="2" t="s">
        <v>326</v>
      </c>
      <c r="G577" s="3">
        <v>5.82</v>
      </c>
      <c r="H577" s="3">
        <v>2.13</v>
      </c>
      <c r="I577" s="3">
        <v>12.19</v>
      </c>
      <c r="J577" s="3">
        <v>8.4499999999999993</v>
      </c>
      <c r="K577" s="3">
        <v>11.2</v>
      </c>
      <c r="L577" s="21">
        <v>10.19</v>
      </c>
      <c r="M577" s="3">
        <v>2.19</v>
      </c>
      <c r="N577" s="2" t="s">
        <v>16</v>
      </c>
      <c r="O577" s="4" t="s">
        <v>17</v>
      </c>
      <c r="P577" s="18" t="s">
        <v>350</v>
      </c>
      <c r="Q577" s="5">
        <f t="shared" si="32"/>
        <v>10.475999999999999</v>
      </c>
      <c r="R577" s="5">
        <f t="shared" si="33"/>
        <v>9.32</v>
      </c>
      <c r="S577" s="5">
        <f t="shared" si="34"/>
        <v>6.6949999999999994</v>
      </c>
      <c r="T577" s="23">
        <f>('Investor-Inputs'!$G$19 * Q577) + ('Investor-Inputs'!$J$19 * R577) + ('Investor-Inputs'!$N$19 * S577)</f>
        <v>56.762999999999998</v>
      </c>
      <c r="U577" s="27">
        <f t="shared" si="35"/>
        <v>248</v>
      </c>
    </row>
    <row r="578" spans="3:21" x14ac:dyDescent="0.25">
      <c r="C578" s="2" t="s">
        <v>333</v>
      </c>
      <c r="D578" s="2">
        <v>4</v>
      </c>
      <c r="E578" s="2" t="s">
        <v>14</v>
      </c>
      <c r="F578" s="2" t="s">
        <v>326</v>
      </c>
      <c r="G578" s="3">
        <v>5.2</v>
      </c>
      <c r="H578" s="3">
        <v>2.42</v>
      </c>
      <c r="I578" s="3">
        <v>11.46</v>
      </c>
      <c r="J578" s="3">
        <v>7.27</v>
      </c>
      <c r="K578" s="2"/>
      <c r="L578" s="20"/>
      <c r="M578" s="3">
        <v>2.06</v>
      </c>
      <c r="N578" s="2" t="s">
        <v>16</v>
      </c>
      <c r="O578" s="4" t="s">
        <v>24</v>
      </c>
      <c r="P578" s="18" t="s">
        <v>350</v>
      </c>
      <c r="Q578" s="5">
        <f t="shared" si="32"/>
        <v>4.5840000000000005</v>
      </c>
      <c r="R578" s="5">
        <f t="shared" si="33"/>
        <v>3.6349999999999998</v>
      </c>
      <c r="S578" s="5">
        <f t="shared" si="34"/>
        <v>1.03</v>
      </c>
      <c r="T578" s="23">
        <f>('Investor-Inputs'!$G$19 * Q578) + ('Investor-Inputs'!$J$19 * R578) + ('Investor-Inputs'!$N$19 * S578)</f>
        <v>22.052000000000003</v>
      </c>
      <c r="U578" s="27">
        <f t="shared" si="35"/>
        <v>572</v>
      </c>
    </row>
    <row r="579" spans="3:21" x14ac:dyDescent="0.25">
      <c r="C579" s="2" t="s">
        <v>334</v>
      </c>
      <c r="D579" s="2">
        <v>4</v>
      </c>
      <c r="E579" s="2" t="s">
        <v>14</v>
      </c>
      <c r="F579" s="2" t="s">
        <v>326</v>
      </c>
      <c r="G579" s="3">
        <v>3.58</v>
      </c>
      <c r="H579" s="3">
        <v>1.38</v>
      </c>
      <c r="I579" s="3">
        <v>11.73</v>
      </c>
      <c r="J579" s="3">
        <v>6.97</v>
      </c>
      <c r="K579" s="3">
        <v>10.27</v>
      </c>
      <c r="L579" s="21">
        <v>8.99</v>
      </c>
      <c r="M579" s="3">
        <v>2.37</v>
      </c>
      <c r="N579" s="2" t="s">
        <v>16</v>
      </c>
      <c r="O579" s="4" t="s">
        <v>24</v>
      </c>
      <c r="P579" s="18" t="s">
        <v>350</v>
      </c>
      <c r="Q579" s="5">
        <f t="shared" si="32"/>
        <v>9.827</v>
      </c>
      <c r="R579" s="5">
        <f t="shared" si="33"/>
        <v>7.98</v>
      </c>
      <c r="S579" s="5">
        <f t="shared" si="34"/>
        <v>6.32</v>
      </c>
      <c r="T579" s="23">
        <f>('Investor-Inputs'!$G$19 * Q579) + ('Investor-Inputs'!$J$19 * R579) + ('Investor-Inputs'!$N$19 * S579)</f>
        <v>51.761000000000003</v>
      </c>
      <c r="U579" s="27">
        <f t="shared" si="35"/>
        <v>277</v>
      </c>
    </row>
    <row r="580" spans="3:21" x14ac:dyDescent="0.25">
      <c r="C580" s="2" t="s">
        <v>335</v>
      </c>
      <c r="D580" s="2">
        <v>4</v>
      </c>
      <c r="E580" s="2" t="s">
        <v>14</v>
      </c>
      <c r="F580" s="2" t="s">
        <v>326</v>
      </c>
      <c r="G580" s="3">
        <v>1.19</v>
      </c>
      <c r="H580" s="3">
        <v>-1.41</v>
      </c>
      <c r="I580" s="3">
        <v>16.760000000000002</v>
      </c>
      <c r="J580" s="3">
        <v>6.67</v>
      </c>
      <c r="K580" s="2"/>
      <c r="L580" s="20"/>
      <c r="M580" s="3">
        <v>2.5</v>
      </c>
      <c r="N580" s="2" t="s">
        <v>16</v>
      </c>
      <c r="O580" s="4" t="s">
        <v>28</v>
      </c>
      <c r="P580" s="18" t="s">
        <v>350</v>
      </c>
      <c r="Q580" s="5">
        <f t="shared" si="32"/>
        <v>6.7040000000000006</v>
      </c>
      <c r="R580" s="5">
        <f t="shared" si="33"/>
        <v>3.335</v>
      </c>
      <c r="S580" s="5">
        <f t="shared" si="34"/>
        <v>1.25</v>
      </c>
      <c r="T580" s="23">
        <f>('Investor-Inputs'!$G$19 * Q580) + ('Investor-Inputs'!$J$19 * R580) + ('Investor-Inputs'!$N$19 * S580)</f>
        <v>28.032000000000004</v>
      </c>
      <c r="U580" s="27">
        <f t="shared" si="35"/>
        <v>556</v>
      </c>
    </row>
    <row r="581" spans="3:21" x14ac:dyDescent="0.25">
      <c r="C581" s="2" t="s">
        <v>336</v>
      </c>
      <c r="D581" s="2">
        <v>5</v>
      </c>
      <c r="E581" s="2" t="s">
        <v>14</v>
      </c>
      <c r="F581" s="2" t="s">
        <v>326</v>
      </c>
      <c r="G581" s="3">
        <v>4.83</v>
      </c>
      <c r="H581" s="3">
        <v>2.75</v>
      </c>
      <c r="I581" s="3">
        <v>12.29</v>
      </c>
      <c r="J581" s="3">
        <v>7.89</v>
      </c>
      <c r="K581" s="2"/>
      <c r="L581" s="20"/>
      <c r="M581" s="3">
        <v>1.53</v>
      </c>
      <c r="N581" s="2" t="s">
        <v>16</v>
      </c>
      <c r="O581" s="4" t="s">
        <v>17</v>
      </c>
      <c r="P581" s="18" t="s">
        <v>350</v>
      </c>
      <c r="Q581" s="5">
        <f t="shared" si="32"/>
        <v>4.9160000000000004</v>
      </c>
      <c r="R581" s="5">
        <f t="shared" si="33"/>
        <v>3.9449999999999998</v>
      </c>
      <c r="S581" s="5">
        <f t="shared" si="34"/>
        <v>0.76500000000000001</v>
      </c>
      <c r="T581" s="23">
        <f>('Investor-Inputs'!$G$19 * Q581) + ('Investor-Inputs'!$J$19 * R581) + ('Investor-Inputs'!$N$19 * S581)</f>
        <v>23.403000000000002</v>
      </c>
      <c r="U581" s="27">
        <f t="shared" si="35"/>
        <v>570</v>
      </c>
    </row>
    <row r="582" spans="3:21" x14ac:dyDescent="0.25">
      <c r="C582" s="2" t="s">
        <v>337</v>
      </c>
      <c r="D582" s="2">
        <v>4</v>
      </c>
      <c r="E582" s="2" t="s">
        <v>14</v>
      </c>
      <c r="F582" s="2" t="s">
        <v>338</v>
      </c>
      <c r="G582" s="3">
        <v>6.76</v>
      </c>
      <c r="H582" s="3">
        <v>3.26</v>
      </c>
      <c r="I582" s="3">
        <v>14.49</v>
      </c>
      <c r="J582" s="3">
        <v>10.3</v>
      </c>
      <c r="K582" s="2"/>
      <c r="L582" s="20"/>
      <c r="M582" s="3">
        <v>1.1599999999999999</v>
      </c>
      <c r="N582" s="2" t="s">
        <v>28</v>
      </c>
      <c r="O582" s="4" t="s">
        <v>110</v>
      </c>
      <c r="P582" s="18" t="s">
        <v>350</v>
      </c>
      <c r="Q582" s="5">
        <f t="shared" si="32"/>
        <v>5.7960000000000003</v>
      </c>
      <c r="R582" s="5">
        <f t="shared" si="33"/>
        <v>5.15</v>
      </c>
      <c r="S582" s="5">
        <f t="shared" si="34"/>
        <v>0.57999999999999996</v>
      </c>
      <c r="T582" s="23">
        <f>('Investor-Inputs'!$G$19 * Q582) + ('Investor-Inputs'!$J$19 * R582) + ('Investor-Inputs'!$N$19 * S582)</f>
        <v>28.268000000000001</v>
      </c>
      <c r="U582" s="27">
        <f t="shared" si="35"/>
        <v>548</v>
      </c>
    </row>
    <row r="583" spans="3:21" x14ac:dyDescent="0.25">
      <c r="C583" s="2" t="s">
        <v>339</v>
      </c>
      <c r="D583" s="2">
        <v>5</v>
      </c>
      <c r="E583" s="2" t="s">
        <v>14</v>
      </c>
      <c r="F583" s="2" t="s">
        <v>338</v>
      </c>
      <c r="G583" s="3">
        <v>9.1</v>
      </c>
      <c r="H583" s="3">
        <v>5.29</v>
      </c>
      <c r="I583" s="3">
        <v>17.68</v>
      </c>
      <c r="J583" s="3">
        <v>12.53</v>
      </c>
      <c r="K583" s="3">
        <v>18.850000000000001</v>
      </c>
      <c r="L583" s="21">
        <v>15.66</v>
      </c>
      <c r="M583" s="3">
        <v>2.37</v>
      </c>
      <c r="N583" s="2" t="s">
        <v>16</v>
      </c>
      <c r="O583" s="4" t="s">
        <v>17</v>
      </c>
      <c r="P583" s="18" t="s">
        <v>350</v>
      </c>
      <c r="Q583" s="5">
        <f t="shared" si="32"/>
        <v>16.497</v>
      </c>
      <c r="R583" s="5">
        <f t="shared" si="33"/>
        <v>14.094999999999999</v>
      </c>
      <c r="S583" s="5">
        <f t="shared" si="34"/>
        <v>10.610000000000001</v>
      </c>
      <c r="T583" s="23">
        <f>('Investor-Inputs'!$G$19 * Q583) + ('Investor-Inputs'!$J$19 * R583) + ('Investor-Inputs'!$N$19 * S583)</f>
        <v>88.290999999999997</v>
      </c>
      <c r="U583" s="27">
        <f t="shared" si="35"/>
        <v>87</v>
      </c>
    </row>
    <row r="584" spans="3:21" x14ac:dyDescent="0.25">
      <c r="C584" s="2" t="s">
        <v>340</v>
      </c>
      <c r="D584" s="2">
        <v>4</v>
      </c>
      <c r="E584" s="2" t="s">
        <v>14</v>
      </c>
      <c r="F584" s="2" t="s">
        <v>338</v>
      </c>
      <c r="G584" s="3">
        <v>18.78</v>
      </c>
      <c r="H584" s="3">
        <v>14.36</v>
      </c>
      <c r="I584" s="3">
        <v>20.37</v>
      </c>
      <c r="J584" s="3">
        <v>17.03</v>
      </c>
      <c r="K584" s="3">
        <v>16.13</v>
      </c>
      <c r="L584" s="21">
        <v>16.809999999999999</v>
      </c>
      <c r="M584" s="3">
        <v>1.34</v>
      </c>
      <c r="N584" s="2" t="s">
        <v>16</v>
      </c>
      <c r="O584" s="4" t="s">
        <v>17</v>
      </c>
      <c r="P584" s="18" t="s">
        <v>350</v>
      </c>
      <c r="Q584" s="5">
        <f t="shared" ref="Q584:Q592" si="36">I584*0.4+K584*0.5</f>
        <v>16.213000000000001</v>
      </c>
      <c r="R584" s="5">
        <f t="shared" ref="R584:R592" si="37">(L584+J584)/2</f>
        <v>16.920000000000002</v>
      </c>
      <c r="S584" s="5">
        <f t="shared" ref="S584:S592" si="38">(M584+K584)/2</f>
        <v>8.7349999999999994</v>
      </c>
      <c r="T584" s="23">
        <f>('Investor-Inputs'!$G$19 * Q584) + ('Investor-Inputs'!$J$19 * R584) + ('Investor-Inputs'!$N$19 * S584)</f>
        <v>91.214000000000013</v>
      </c>
      <c r="U584" s="27">
        <f t="shared" ref="U584:U592" si="39">_xlfn.RANK.EQ(T584,$T$7:$T$592,0)</f>
        <v>79</v>
      </c>
    </row>
    <row r="585" spans="3:21" x14ac:dyDescent="0.25">
      <c r="C585" s="2" t="s">
        <v>341</v>
      </c>
      <c r="D585" s="2">
        <v>4</v>
      </c>
      <c r="E585" s="2" t="s">
        <v>14</v>
      </c>
      <c r="F585" s="2" t="s">
        <v>338</v>
      </c>
      <c r="G585" s="3">
        <v>13.12</v>
      </c>
      <c r="H585" s="3">
        <v>10.08</v>
      </c>
      <c r="I585" s="3">
        <v>19.52</v>
      </c>
      <c r="J585" s="3">
        <v>14.58</v>
      </c>
      <c r="K585" s="3">
        <v>17.059999999999999</v>
      </c>
      <c r="L585" s="21">
        <v>16.25</v>
      </c>
      <c r="M585" s="3">
        <v>1.07</v>
      </c>
      <c r="N585" s="2" t="s">
        <v>16</v>
      </c>
      <c r="O585" s="4" t="s">
        <v>17</v>
      </c>
      <c r="P585" s="18" t="s">
        <v>350</v>
      </c>
      <c r="Q585" s="5">
        <f t="shared" si="36"/>
        <v>16.338000000000001</v>
      </c>
      <c r="R585" s="5">
        <f t="shared" si="37"/>
        <v>15.414999999999999</v>
      </c>
      <c r="S585" s="5">
        <f t="shared" si="38"/>
        <v>9.0649999999999995</v>
      </c>
      <c r="T585" s="23">
        <f>('Investor-Inputs'!$G$19 * Q585) + ('Investor-Inputs'!$J$19 * R585) + ('Investor-Inputs'!$N$19 * S585)</f>
        <v>88.908999999999992</v>
      </c>
      <c r="U585" s="27">
        <f t="shared" si="39"/>
        <v>85</v>
      </c>
    </row>
    <row r="586" spans="3:21" x14ac:dyDescent="0.25">
      <c r="C586" s="2" t="s">
        <v>342</v>
      </c>
      <c r="D586" s="2">
        <v>5</v>
      </c>
      <c r="E586" s="2" t="s">
        <v>14</v>
      </c>
      <c r="F586" s="2" t="s">
        <v>338</v>
      </c>
      <c r="G586" s="3">
        <v>20.86</v>
      </c>
      <c r="H586" s="3">
        <v>17.73</v>
      </c>
      <c r="I586" s="3">
        <v>22.37</v>
      </c>
      <c r="J586" s="3">
        <v>18.37</v>
      </c>
      <c r="K586" s="3">
        <v>21.48</v>
      </c>
      <c r="L586" s="21">
        <v>19.28</v>
      </c>
      <c r="M586" s="3">
        <v>2.57</v>
      </c>
      <c r="N586" s="2" t="s">
        <v>28</v>
      </c>
      <c r="O586" s="4" t="s">
        <v>28</v>
      </c>
      <c r="P586" s="18" t="s">
        <v>350</v>
      </c>
      <c r="Q586" s="5">
        <f t="shared" si="36"/>
        <v>19.688000000000002</v>
      </c>
      <c r="R586" s="5">
        <f t="shared" si="37"/>
        <v>18.825000000000003</v>
      </c>
      <c r="S586" s="5">
        <f t="shared" si="38"/>
        <v>12.025</v>
      </c>
      <c r="T586" s="23">
        <f>('Investor-Inputs'!$G$19 * Q586) + ('Investor-Inputs'!$J$19 * R586) + ('Investor-Inputs'!$N$19 * S586)</f>
        <v>108.73900000000002</v>
      </c>
      <c r="U586" s="27">
        <f t="shared" si="39"/>
        <v>37</v>
      </c>
    </row>
    <row r="587" spans="3:21" x14ac:dyDescent="0.25">
      <c r="C587" s="2" t="s">
        <v>343</v>
      </c>
      <c r="D587" s="2">
        <v>4</v>
      </c>
      <c r="E587" s="2" t="s">
        <v>14</v>
      </c>
      <c r="F587" s="2" t="s">
        <v>338</v>
      </c>
      <c r="G587" s="3">
        <v>16.78</v>
      </c>
      <c r="H587" s="3">
        <v>13.15</v>
      </c>
      <c r="I587" s="3">
        <v>17.75</v>
      </c>
      <c r="J587" s="3">
        <v>14.58</v>
      </c>
      <c r="K587" s="3">
        <v>14.55</v>
      </c>
      <c r="L587" s="21">
        <v>14.92</v>
      </c>
      <c r="M587" s="3">
        <v>1.84</v>
      </c>
      <c r="N587" s="2" t="s">
        <v>16</v>
      </c>
      <c r="O587" s="4" t="s">
        <v>17</v>
      </c>
      <c r="P587" s="18" t="s">
        <v>350</v>
      </c>
      <c r="Q587" s="5">
        <f t="shared" si="36"/>
        <v>14.375</v>
      </c>
      <c r="R587" s="5">
        <f t="shared" si="37"/>
        <v>14.75</v>
      </c>
      <c r="S587" s="5">
        <f t="shared" si="38"/>
        <v>8.1950000000000003</v>
      </c>
      <c r="T587" s="23">
        <f>('Investor-Inputs'!$G$19 * Q587) + ('Investor-Inputs'!$J$19 * R587) + ('Investor-Inputs'!$N$19 * S587)</f>
        <v>80.819999999999993</v>
      </c>
      <c r="U587" s="27">
        <f t="shared" si="39"/>
        <v>126</v>
      </c>
    </row>
    <row r="588" spans="3:21" x14ac:dyDescent="0.25">
      <c r="C588" s="2" t="s">
        <v>344</v>
      </c>
      <c r="D588" s="2">
        <v>4</v>
      </c>
      <c r="E588" s="2" t="s">
        <v>14</v>
      </c>
      <c r="F588" s="2" t="s">
        <v>345</v>
      </c>
      <c r="G588" s="3">
        <v>55.7</v>
      </c>
      <c r="H588" s="3">
        <v>54.17</v>
      </c>
      <c r="I588" s="3">
        <v>33.520000000000003</v>
      </c>
      <c r="J588" s="3">
        <v>44.04</v>
      </c>
      <c r="K588" s="3">
        <v>24.54</v>
      </c>
      <c r="L588" s="21">
        <v>32.729999999999997</v>
      </c>
      <c r="M588" s="3">
        <v>0.48</v>
      </c>
      <c r="N588" s="2" t="s">
        <v>16</v>
      </c>
      <c r="O588" s="4" t="s">
        <v>110</v>
      </c>
      <c r="P588" s="18" t="s">
        <v>350</v>
      </c>
      <c r="Q588" s="5">
        <f t="shared" si="36"/>
        <v>25.678000000000001</v>
      </c>
      <c r="R588" s="5">
        <f t="shared" si="37"/>
        <v>38.384999999999998</v>
      </c>
      <c r="S588" s="5">
        <f t="shared" si="38"/>
        <v>12.51</v>
      </c>
      <c r="T588" s="23">
        <f>('Investor-Inputs'!$G$19 * Q588) + ('Investor-Inputs'!$J$19 * R588) + ('Investor-Inputs'!$N$19 * S588)</f>
        <v>166.31399999999999</v>
      </c>
      <c r="U588" s="27">
        <f t="shared" si="39"/>
        <v>5</v>
      </c>
    </row>
    <row r="589" spans="3:21" x14ac:dyDescent="0.25">
      <c r="C589" s="2" t="s">
        <v>346</v>
      </c>
      <c r="D589" s="2">
        <v>4</v>
      </c>
      <c r="E589" s="2" t="s">
        <v>14</v>
      </c>
      <c r="F589" s="2" t="s">
        <v>345</v>
      </c>
      <c r="G589" s="3">
        <v>56</v>
      </c>
      <c r="H589" s="3">
        <v>53.89</v>
      </c>
      <c r="I589" s="3">
        <v>33.71</v>
      </c>
      <c r="J589" s="3">
        <v>44.49</v>
      </c>
      <c r="K589" s="3">
        <v>24.7</v>
      </c>
      <c r="L589" s="21">
        <v>32.950000000000003</v>
      </c>
      <c r="M589" s="3">
        <v>0.51</v>
      </c>
      <c r="N589" s="2" t="s">
        <v>28</v>
      </c>
      <c r="O589" s="4" t="s">
        <v>24</v>
      </c>
      <c r="P589" s="18" t="s">
        <v>350</v>
      </c>
      <c r="Q589" s="5">
        <f t="shared" si="36"/>
        <v>25.834000000000003</v>
      </c>
      <c r="R589" s="5">
        <f t="shared" si="37"/>
        <v>38.72</v>
      </c>
      <c r="S589" s="5">
        <f t="shared" si="38"/>
        <v>12.605</v>
      </c>
      <c r="T589" s="23">
        <f>('Investor-Inputs'!$G$19 * Q589) + ('Investor-Inputs'!$J$19 * R589) + ('Investor-Inputs'!$N$19 * S589)</f>
        <v>167.547</v>
      </c>
      <c r="U589" s="27">
        <f t="shared" si="39"/>
        <v>3</v>
      </c>
    </row>
    <row r="590" spans="3:21" x14ac:dyDescent="0.25">
      <c r="C590" s="2" t="s">
        <v>347</v>
      </c>
      <c r="D590" s="2">
        <v>4</v>
      </c>
      <c r="E590" s="2" t="s">
        <v>14</v>
      </c>
      <c r="F590" s="2" t="s">
        <v>345</v>
      </c>
      <c r="G590" s="3">
        <v>56.08</v>
      </c>
      <c r="H590" s="3">
        <v>54.16</v>
      </c>
      <c r="I590" s="3">
        <v>33.76</v>
      </c>
      <c r="J590" s="3">
        <v>44.55</v>
      </c>
      <c r="K590" s="3">
        <v>24.72</v>
      </c>
      <c r="L590" s="21">
        <v>33.01</v>
      </c>
      <c r="M590" s="3">
        <v>0.42</v>
      </c>
      <c r="N590" s="2" t="s">
        <v>28</v>
      </c>
      <c r="O590" s="4" t="s">
        <v>24</v>
      </c>
      <c r="P590" s="18" t="s">
        <v>350</v>
      </c>
      <c r="Q590" s="5">
        <f t="shared" si="36"/>
        <v>25.863999999999997</v>
      </c>
      <c r="R590" s="5">
        <f t="shared" si="37"/>
        <v>38.78</v>
      </c>
      <c r="S590" s="5">
        <f t="shared" si="38"/>
        <v>12.57</v>
      </c>
      <c r="T590" s="23">
        <f>('Investor-Inputs'!$G$19 * Q590) + ('Investor-Inputs'!$J$19 * R590) + ('Investor-Inputs'!$N$19 * S590)</f>
        <v>167.72199999999998</v>
      </c>
      <c r="U590" s="27">
        <f t="shared" si="39"/>
        <v>1</v>
      </c>
    </row>
    <row r="591" spans="3:21" x14ac:dyDescent="0.25">
      <c r="C591" s="2" t="s">
        <v>348</v>
      </c>
      <c r="D591" s="2">
        <v>4</v>
      </c>
      <c r="E591" s="2" t="s">
        <v>14</v>
      </c>
      <c r="F591" s="2" t="s">
        <v>345</v>
      </c>
      <c r="G591" s="3">
        <v>53.31</v>
      </c>
      <c r="H591" s="3">
        <v>51.94</v>
      </c>
      <c r="I591" s="2"/>
      <c r="J591" s="2"/>
      <c r="K591" s="2"/>
      <c r="L591" s="20"/>
      <c r="M591" s="3">
        <v>0.68</v>
      </c>
      <c r="N591" s="2" t="s">
        <v>28</v>
      </c>
      <c r="O591" s="4" t="s">
        <v>110</v>
      </c>
      <c r="P591" s="18" t="s">
        <v>350</v>
      </c>
      <c r="Q591" s="5">
        <f t="shared" si="36"/>
        <v>0</v>
      </c>
      <c r="R591" s="5">
        <f t="shared" si="37"/>
        <v>0</v>
      </c>
      <c r="S591" s="5">
        <f t="shared" si="38"/>
        <v>0.34</v>
      </c>
      <c r="T591" s="23">
        <f>('Investor-Inputs'!$G$19 * Q591) + ('Investor-Inputs'!$J$19 * R591) + ('Investor-Inputs'!$N$19 * S591)</f>
        <v>0.34</v>
      </c>
      <c r="U591" s="27">
        <f t="shared" si="39"/>
        <v>583</v>
      </c>
    </row>
    <row r="592" spans="3:21" x14ac:dyDescent="0.25">
      <c r="C592" s="2" t="s">
        <v>349</v>
      </c>
      <c r="D592" s="2">
        <v>4</v>
      </c>
      <c r="E592" s="2" t="s">
        <v>14</v>
      </c>
      <c r="F592" s="2" t="s">
        <v>345</v>
      </c>
      <c r="G592" s="3">
        <v>55.76</v>
      </c>
      <c r="H592" s="3">
        <v>54.35</v>
      </c>
      <c r="I592" s="3">
        <v>33.82</v>
      </c>
      <c r="J592" s="3">
        <v>44.66</v>
      </c>
      <c r="K592" s="2"/>
      <c r="L592" s="20"/>
      <c r="M592" s="3">
        <v>0.53</v>
      </c>
      <c r="N592" s="2" t="s">
        <v>28</v>
      </c>
      <c r="O592" s="4" t="s">
        <v>24</v>
      </c>
      <c r="P592" s="18" t="s">
        <v>350</v>
      </c>
      <c r="Q592" s="5">
        <f t="shared" si="36"/>
        <v>13.528</v>
      </c>
      <c r="R592" s="5">
        <f t="shared" si="37"/>
        <v>22.33</v>
      </c>
      <c r="S592" s="5">
        <f t="shared" si="38"/>
        <v>0.26500000000000001</v>
      </c>
      <c r="T592" s="23">
        <f>('Investor-Inputs'!$G$19 * Q592) + ('Investor-Inputs'!$J$19 * R592) + ('Investor-Inputs'!$N$19 * S592)</f>
        <v>85.509</v>
      </c>
      <c r="U592" s="27">
        <f t="shared" si="39"/>
        <v>110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6:U592"/>
  <sheetViews>
    <sheetView workbookViewId="0">
      <selection activeCell="F17" sqref="F17"/>
    </sheetView>
  </sheetViews>
  <sheetFormatPr defaultRowHeight="15" x14ac:dyDescent="0.25"/>
  <cols>
    <col min="3" max="3" width="49.85546875" customWidth="1"/>
    <col min="4" max="4" width="14.85546875" customWidth="1"/>
    <col min="17" max="19" width="12.42578125" customWidth="1"/>
    <col min="20" max="20" width="12.42578125" style="24" customWidth="1"/>
    <col min="21" max="21" width="12.42578125" style="28" customWidth="1"/>
  </cols>
  <sheetData>
    <row r="6" spans="3:21" ht="21" x14ac:dyDescent="0.35">
      <c r="C6" s="1" t="s">
        <v>0</v>
      </c>
      <c r="D6" s="1" t="s">
        <v>1</v>
      </c>
      <c r="E6" s="1" t="s">
        <v>2</v>
      </c>
      <c r="F6" s="1" t="s">
        <v>3</v>
      </c>
      <c r="G6" s="1" t="s">
        <v>4</v>
      </c>
      <c r="H6" s="1" t="s">
        <v>5</v>
      </c>
      <c r="I6" s="1" t="s">
        <v>6</v>
      </c>
      <c r="J6" s="1" t="s">
        <v>7</v>
      </c>
      <c r="K6" s="1" t="s">
        <v>8</v>
      </c>
      <c r="L6" s="1" t="s">
        <v>360</v>
      </c>
      <c r="M6" s="1" t="s">
        <v>9</v>
      </c>
      <c r="N6" s="1" t="s">
        <v>10</v>
      </c>
      <c r="O6" s="1" t="s">
        <v>11</v>
      </c>
      <c r="P6" s="16" t="s">
        <v>12</v>
      </c>
      <c r="Q6" s="19" t="s">
        <v>361</v>
      </c>
      <c r="R6" s="19" t="s">
        <v>362</v>
      </c>
      <c r="S6" s="19" t="s">
        <v>363</v>
      </c>
      <c r="T6" s="22" t="s">
        <v>364</v>
      </c>
      <c r="U6" s="26" t="s">
        <v>365</v>
      </c>
    </row>
    <row r="7" spans="3:21" x14ac:dyDescent="0.25">
      <c r="C7" s="2" t="s">
        <v>13</v>
      </c>
      <c r="D7" s="2">
        <v>4</v>
      </c>
      <c r="E7" s="2" t="s">
        <v>14</v>
      </c>
      <c r="F7" s="2" t="s">
        <v>15</v>
      </c>
      <c r="G7" s="3">
        <v>-0.47</v>
      </c>
      <c r="H7" s="3">
        <v>-6.31</v>
      </c>
      <c r="I7" s="3">
        <v>13.07</v>
      </c>
      <c r="J7" s="3">
        <v>5.14</v>
      </c>
      <c r="K7" s="3">
        <v>12.5</v>
      </c>
      <c r="L7" s="21">
        <v>9.15</v>
      </c>
      <c r="M7" s="3">
        <v>1.58</v>
      </c>
      <c r="N7" s="2" t="s">
        <v>16</v>
      </c>
      <c r="O7" s="2" t="s">
        <v>17</v>
      </c>
      <c r="P7" s="17" t="s">
        <v>18</v>
      </c>
      <c r="Q7" s="5">
        <f>I7*0.4+K7*0.5</f>
        <v>11.478000000000002</v>
      </c>
      <c r="R7" s="5">
        <f t="shared" ref="R7:S71" si="0">(L7+J7)/2</f>
        <v>7.1449999999999996</v>
      </c>
      <c r="S7" s="5">
        <f>(M7+K7)/2</f>
        <v>7.04</v>
      </c>
      <c r="T7" s="23">
        <f>('Investor-Inputs'!$G$19 * Q7) + ('Investor-Inputs'!$J$19 * R7) + ('Investor-Inputs'!$N$19 * S7)</f>
        <v>55.764000000000003</v>
      </c>
      <c r="U7" s="27">
        <f>_xlfn.RANK.EQ(T7,$T$7:$T$592,0)</f>
        <v>256</v>
      </c>
    </row>
    <row r="8" spans="3:21" x14ac:dyDescent="0.25">
      <c r="C8" s="2" t="s">
        <v>19</v>
      </c>
      <c r="D8" s="2">
        <v>4</v>
      </c>
      <c r="E8" s="2" t="s">
        <v>14</v>
      </c>
      <c r="F8" s="2" t="s">
        <v>15</v>
      </c>
      <c r="G8" s="3">
        <v>6.69</v>
      </c>
      <c r="H8" s="3">
        <v>2.58</v>
      </c>
      <c r="I8" s="3">
        <v>15.81</v>
      </c>
      <c r="J8" s="3">
        <v>8.65</v>
      </c>
      <c r="K8" s="2"/>
      <c r="L8" s="20"/>
      <c r="M8" s="3">
        <v>1.1000000000000001</v>
      </c>
      <c r="N8" s="2" t="s">
        <v>16</v>
      </c>
      <c r="O8" s="2" t="s">
        <v>17</v>
      </c>
      <c r="P8" s="17" t="s">
        <v>18</v>
      </c>
      <c r="Q8" s="5">
        <f t="shared" ref="Q8:Q71" si="1">I8*0.4+K8*0.5</f>
        <v>6.3240000000000007</v>
      </c>
      <c r="R8" s="5">
        <f t="shared" si="0"/>
        <v>4.3250000000000002</v>
      </c>
      <c r="S8" s="5">
        <f t="shared" si="0"/>
        <v>0.55000000000000004</v>
      </c>
      <c r="T8" s="23">
        <f>('Investor-Inputs'!$G$19 * Q8) + ('Investor-Inputs'!$J$19 * R8) + ('Investor-Inputs'!$N$19 * S8)</f>
        <v>28.172000000000001</v>
      </c>
      <c r="U8" s="27">
        <f t="shared" ref="U8:U71" si="2">_xlfn.RANK.EQ(T8,$T$7:$T$592,0)</f>
        <v>554</v>
      </c>
    </row>
    <row r="9" spans="3:21" x14ac:dyDescent="0.25">
      <c r="C9" s="2" t="s">
        <v>20</v>
      </c>
      <c r="D9" s="2">
        <v>4</v>
      </c>
      <c r="E9" s="2" t="s">
        <v>14</v>
      </c>
      <c r="F9" s="2" t="s">
        <v>15</v>
      </c>
      <c r="G9" s="3">
        <v>8.1199999999999992</v>
      </c>
      <c r="H9" s="3">
        <v>6.8</v>
      </c>
      <c r="I9" s="3">
        <v>20.350000000000001</v>
      </c>
      <c r="J9" s="3">
        <v>10.29</v>
      </c>
      <c r="K9" s="2"/>
      <c r="L9" s="20"/>
      <c r="M9" s="3">
        <v>0.89</v>
      </c>
      <c r="N9" s="2" t="s">
        <v>16</v>
      </c>
      <c r="O9" s="2" t="s">
        <v>17</v>
      </c>
      <c r="P9" s="17" t="s">
        <v>18</v>
      </c>
      <c r="Q9" s="5">
        <f t="shared" si="1"/>
        <v>8.14</v>
      </c>
      <c r="R9" s="5">
        <f t="shared" si="0"/>
        <v>5.1449999999999996</v>
      </c>
      <c r="S9" s="5">
        <f t="shared" si="0"/>
        <v>0.44500000000000001</v>
      </c>
      <c r="T9" s="23">
        <f>('Investor-Inputs'!$G$19 * Q9) + ('Investor-Inputs'!$J$19 * R9) + ('Investor-Inputs'!$N$19 * S9)</f>
        <v>35.155000000000001</v>
      </c>
      <c r="U9" s="27">
        <f t="shared" si="2"/>
        <v>389</v>
      </c>
    </row>
    <row r="10" spans="3:21" x14ac:dyDescent="0.25">
      <c r="C10" s="2" t="s">
        <v>21</v>
      </c>
      <c r="D10" s="2">
        <v>4</v>
      </c>
      <c r="E10" s="2" t="s">
        <v>14</v>
      </c>
      <c r="F10" s="2" t="s">
        <v>15</v>
      </c>
      <c r="G10" s="3">
        <v>2.79</v>
      </c>
      <c r="H10" s="3">
        <v>-2.89</v>
      </c>
      <c r="I10" s="3">
        <v>14.78</v>
      </c>
      <c r="J10" s="3">
        <v>7.14</v>
      </c>
      <c r="K10" s="3">
        <v>12.89</v>
      </c>
      <c r="L10" s="21">
        <v>10.4</v>
      </c>
      <c r="M10" s="3">
        <v>2.2400000000000002</v>
      </c>
      <c r="N10" s="2" t="s">
        <v>16</v>
      </c>
      <c r="O10" s="2" t="s">
        <v>17</v>
      </c>
      <c r="P10" s="17" t="s">
        <v>18</v>
      </c>
      <c r="Q10" s="5">
        <f t="shared" si="1"/>
        <v>12.356999999999999</v>
      </c>
      <c r="R10" s="5">
        <f t="shared" si="0"/>
        <v>8.77</v>
      </c>
      <c r="S10" s="5">
        <f t="shared" si="0"/>
        <v>7.5650000000000004</v>
      </c>
      <c r="T10" s="23">
        <f>('Investor-Inputs'!$G$19 * Q10) + ('Investor-Inputs'!$J$19 * R10) + ('Investor-Inputs'!$N$19 * S10)</f>
        <v>62.175999999999995</v>
      </c>
      <c r="U10" s="27">
        <f t="shared" si="2"/>
        <v>226</v>
      </c>
    </row>
    <row r="11" spans="3:21" x14ac:dyDescent="0.25">
      <c r="C11" s="2" t="s">
        <v>22</v>
      </c>
      <c r="D11" s="2">
        <v>4</v>
      </c>
      <c r="E11" s="2" t="s">
        <v>14</v>
      </c>
      <c r="F11" s="2" t="s">
        <v>15</v>
      </c>
      <c r="G11" s="3">
        <v>2.57</v>
      </c>
      <c r="H11" s="3">
        <v>-0.27</v>
      </c>
      <c r="I11" s="3">
        <v>14.44</v>
      </c>
      <c r="J11" s="3">
        <v>6.72</v>
      </c>
      <c r="K11" s="3">
        <v>13.07</v>
      </c>
      <c r="L11" s="21">
        <v>10.53</v>
      </c>
      <c r="M11" s="3">
        <v>2</v>
      </c>
      <c r="N11" s="2" t="s">
        <v>16</v>
      </c>
      <c r="O11" s="2" t="s">
        <v>17</v>
      </c>
      <c r="P11" s="17" t="s">
        <v>18</v>
      </c>
      <c r="Q11" s="5">
        <f t="shared" si="1"/>
        <v>12.311</v>
      </c>
      <c r="R11" s="5">
        <f t="shared" si="0"/>
        <v>8.625</v>
      </c>
      <c r="S11" s="5">
        <f t="shared" si="0"/>
        <v>7.5350000000000001</v>
      </c>
      <c r="T11" s="23">
        <f>('Investor-Inputs'!$G$19 * Q11) + ('Investor-Inputs'!$J$19 * R11) + ('Investor-Inputs'!$N$19 * S11)</f>
        <v>61.718000000000004</v>
      </c>
      <c r="U11" s="27">
        <f t="shared" si="2"/>
        <v>230</v>
      </c>
    </row>
    <row r="12" spans="3:21" x14ac:dyDescent="0.25">
      <c r="C12" s="2" t="s">
        <v>23</v>
      </c>
      <c r="D12" s="2">
        <v>4</v>
      </c>
      <c r="E12" s="2" t="s">
        <v>14</v>
      </c>
      <c r="F12" s="2" t="s">
        <v>15</v>
      </c>
      <c r="G12" s="3">
        <v>-1.43</v>
      </c>
      <c r="H12" s="3">
        <v>-6.93</v>
      </c>
      <c r="I12" s="3">
        <v>12.6</v>
      </c>
      <c r="J12" s="3">
        <v>4.99</v>
      </c>
      <c r="K12" s="3">
        <v>11.37</v>
      </c>
      <c r="L12" s="21">
        <v>8.7100000000000009</v>
      </c>
      <c r="M12" s="3">
        <v>1.75</v>
      </c>
      <c r="N12" s="2" t="s">
        <v>16</v>
      </c>
      <c r="O12" s="2" t="s">
        <v>24</v>
      </c>
      <c r="P12" s="17" t="s">
        <v>18</v>
      </c>
      <c r="Q12" s="5">
        <f t="shared" si="1"/>
        <v>10.725</v>
      </c>
      <c r="R12" s="5">
        <f t="shared" si="0"/>
        <v>6.8500000000000005</v>
      </c>
      <c r="S12" s="5">
        <f t="shared" si="0"/>
        <v>6.56</v>
      </c>
      <c r="T12" s="23">
        <f>('Investor-Inputs'!$G$19 * Q12) + ('Investor-Inputs'!$J$19 * R12) + ('Investor-Inputs'!$N$19 * S12)</f>
        <v>52.435000000000002</v>
      </c>
      <c r="U12" s="27">
        <f t="shared" si="2"/>
        <v>275</v>
      </c>
    </row>
    <row r="13" spans="3:21" x14ac:dyDescent="0.25">
      <c r="C13" s="2" t="s">
        <v>25</v>
      </c>
      <c r="D13" s="2">
        <v>5</v>
      </c>
      <c r="E13" s="2" t="s">
        <v>14</v>
      </c>
      <c r="F13" s="2" t="s">
        <v>15</v>
      </c>
      <c r="G13" s="3">
        <v>-2.41</v>
      </c>
      <c r="H13" s="3">
        <v>-6.84</v>
      </c>
      <c r="I13" s="3">
        <v>15.09</v>
      </c>
      <c r="J13" s="3">
        <v>6.23</v>
      </c>
      <c r="K13" s="3">
        <v>12.28</v>
      </c>
      <c r="L13" s="21">
        <v>10.35</v>
      </c>
      <c r="M13" s="3">
        <v>2.52</v>
      </c>
      <c r="N13" s="2" t="s">
        <v>16</v>
      </c>
      <c r="O13" s="4" t="s">
        <v>17</v>
      </c>
      <c r="P13" s="18" t="s">
        <v>18</v>
      </c>
      <c r="Q13" s="5">
        <f t="shared" si="1"/>
        <v>12.176</v>
      </c>
      <c r="R13" s="5">
        <f t="shared" si="0"/>
        <v>8.2899999999999991</v>
      </c>
      <c r="S13" s="5">
        <f t="shared" si="0"/>
        <v>7.3999999999999995</v>
      </c>
      <c r="T13" s="23">
        <f>('Investor-Inputs'!$G$19 * Q13) + ('Investor-Inputs'!$J$19 * R13) + ('Investor-Inputs'!$N$19 * S13)</f>
        <v>60.507999999999996</v>
      </c>
      <c r="U13" s="27">
        <f t="shared" si="2"/>
        <v>236</v>
      </c>
    </row>
    <row r="14" spans="3:21" x14ac:dyDescent="0.25">
      <c r="C14" s="2" t="s">
        <v>26</v>
      </c>
      <c r="D14" s="2">
        <v>5</v>
      </c>
      <c r="E14" s="2" t="s">
        <v>14</v>
      </c>
      <c r="F14" s="2" t="s">
        <v>15</v>
      </c>
      <c r="G14" s="3">
        <v>6.81</v>
      </c>
      <c r="H14" s="3">
        <v>2.67</v>
      </c>
      <c r="I14" s="3">
        <v>15.95</v>
      </c>
      <c r="J14" s="3">
        <v>8.77</v>
      </c>
      <c r="K14" s="3">
        <v>14.83</v>
      </c>
      <c r="L14" s="21">
        <v>12.24</v>
      </c>
      <c r="M14" s="3">
        <v>0.95</v>
      </c>
      <c r="N14" s="2" t="s">
        <v>16</v>
      </c>
      <c r="O14" s="4" t="s">
        <v>17</v>
      </c>
      <c r="P14" s="18" t="s">
        <v>18</v>
      </c>
      <c r="Q14" s="5">
        <f t="shared" si="1"/>
        <v>13.795</v>
      </c>
      <c r="R14" s="5">
        <f t="shared" si="0"/>
        <v>10.504999999999999</v>
      </c>
      <c r="S14" s="5">
        <f t="shared" si="0"/>
        <v>7.89</v>
      </c>
      <c r="T14" s="23">
        <f>('Investor-Inputs'!$G$19 * Q14) + ('Investor-Inputs'!$J$19 * R14) + ('Investor-Inputs'!$N$19 * S14)</f>
        <v>70.284999999999997</v>
      </c>
      <c r="U14" s="27">
        <f t="shared" si="2"/>
        <v>192</v>
      </c>
    </row>
    <row r="15" spans="3:21" x14ac:dyDescent="0.25">
      <c r="C15" s="2" t="s">
        <v>27</v>
      </c>
      <c r="D15" s="2">
        <v>4</v>
      </c>
      <c r="E15" s="2" t="s">
        <v>14</v>
      </c>
      <c r="F15" s="2" t="s">
        <v>15</v>
      </c>
      <c r="G15" s="3">
        <v>8.35</v>
      </c>
      <c r="H15" s="3">
        <v>6.86</v>
      </c>
      <c r="I15" s="3">
        <v>20.83</v>
      </c>
      <c r="J15" s="3">
        <v>10.65</v>
      </c>
      <c r="K15" s="3">
        <v>15.1</v>
      </c>
      <c r="L15" s="21">
        <v>13.33</v>
      </c>
      <c r="M15" s="3">
        <v>0.98</v>
      </c>
      <c r="N15" s="2" t="s">
        <v>16</v>
      </c>
      <c r="O15" s="4" t="s">
        <v>28</v>
      </c>
      <c r="P15" s="18" t="s">
        <v>18</v>
      </c>
      <c r="Q15" s="5">
        <f t="shared" si="1"/>
        <v>15.881999999999998</v>
      </c>
      <c r="R15" s="5">
        <f t="shared" si="0"/>
        <v>11.99</v>
      </c>
      <c r="S15" s="5">
        <f t="shared" si="0"/>
        <v>8.0399999999999991</v>
      </c>
      <c r="T15" s="23">
        <f>('Investor-Inputs'!$G$19 * Q15) + ('Investor-Inputs'!$J$19 * R15) + ('Investor-Inputs'!$N$19 * S15)</f>
        <v>79.665999999999997</v>
      </c>
      <c r="U15" s="27">
        <f t="shared" si="2"/>
        <v>132</v>
      </c>
    </row>
    <row r="16" spans="3:21" x14ac:dyDescent="0.25">
      <c r="C16" s="2" t="s">
        <v>29</v>
      </c>
      <c r="D16" s="2">
        <v>4</v>
      </c>
      <c r="E16" s="2" t="s">
        <v>14</v>
      </c>
      <c r="F16" s="2" t="s">
        <v>15</v>
      </c>
      <c r="G16" s="3">
        <v>-0.09</v>
      </c>
      <c r="H16" s="3">
        <v>-5.13</v>
      </c>
      <c r="I16" s="3">
        <v>12.29</v>
      </c>
      <c r="J16" s="3">
        <v>4.59</v>
      </c>
      <c r="K16" s="3">
        <v>12.11</v>
      </c>
      <c r="L16" s="21">
        <v>9</v>
      </c>
      <c r="M16" s="3">
        <v>2.12</v>
      </c>
      <c r="N16" s="2" t="s">
        <v>16</v>
      </c>
      <c r="O16" s="4" t="s">
        <v>24</v>
      </c>
      <c r="P16" s="18" t="s">
        <v>18</v>
      </c>
      <c r="Q16" s="5">
        <f t="shared" si="1"/>
        <v>10.971</v>
      </c>
      <c r="R16" s="5">
        <f t="shared" si="0"/>
        <v>6.7949999999999999</v>
      </c>
      <c r="S16" s="5">
        <f t="shared" si="0"/>
        <v>7.1150000000000002</v>
      </c>
      <c r="T16" s="23">
        <f>('Investor-Inputs'!$G$19 * Q16) + ('Investor-Inputs'!$J$19 * R16) + ('Investor-Inputs'!$N$19 * S16)</f>
        <v>53.618000000000002</v>
      </c>
      <c r="U16" s="27">
        <f t="shared" si="2"/>
        <v>273</v>
      </c>
    </row>
    <row r="17" spans="3:21" x14ac:dyDescent="0.25">
      <c r="C17" s="2" t="s">
        <v>30</v>
      </c>
      <c r="D17" s="2">
        <v>5</v>
      </c>
      <c r="E17" s="2" t="s">
        <v>14</v>
      </c>
      <c r="F17" s="2" t="s">
        <v>15</v>
      </c>
      <c r="G17" s="3">
        <v>-1.59</v>
      </c>
      <c r="H17" s="3">
        <v>-6.6</v>
      </c>
      <c r="I17" s="3">
        <v>12.48</v>
      </c>
      <c r="J17" s="3">
        <v>3.95</v>
      </c>
      <c r="K17" s="3">
        <v>13.84</v>
      </c>
      <c r="L17" s="21">
        <v>9.59</v>
      </c>
      <c r="M17" s="3">
        <v>1.58</v>
      </c>
      <c r="N17" s="2" t="s">
        <v>16</v>
      </c>
      <c r="O17" s="4" t="s">
        <v>17</v>
      </c>
      <c r="P17" s="18" t="s">
        <v>18</v>
      </c>
      <c r="Q17" s="5">
        <f t="shared" si="1"/>
        <v>11.912000000000001</v>
      </c>
      <c r="R17" s="5">
        <f t="shared" si="0"/>
        <v>6.77</v>
      </c>
      <c r="S17" s="5">
        <f t="shared" si="0"/>
        <v>7.71</v>
      </c>
      <c r="T17" s="23">
        <f>('Investor-Inputs'!$G$19 * Q17) + ('Investor-Inputs'!$J$19 * R17) + ('Investor-Inputs'!$N$19 * S17)</f>
        <v>56.986000000000004</v>
      </c>
      <c r="U17" s="27">
        <f t="shared" si="2"/>
        <v>246</v>
      </c>
    </row>
    <row r="18" spans="3:21" x14ac:dyDescent="0.25">
      <c r="C18" s="2" t="s">
        <v>31</v>
      </c>
      <c r="D18" s="2">
        <v>4</v>
      </c>
      <c r="E18" s="2" t="s">
        <v>14</v>
      </c>
      <c r="F18" s="2" t="s">
        <v>15</v>
      </c>
      <c r="G18" s="3">
        <v>7.88</v>
      </c>
      <c r="H18" s="3">
        <v>4.9000000000000004</v>
      </c>
      <c r="I18" s="3">
        <v>18.079999999999998</v>
      </c>
      <c r="J18" s="3">
        <v>9.68</v>
      </c>
      <c r="K18" s="2"/>
      <c r="L18" s="20"/>
      <c r="M18" s="3">
        <v>0.88</v>
      </c>
      <c r="N18" s="2" t="s">
        <v>16</v>
      </c>
      <c r="O18" s="4" t="s">
        <v>17</v>
      </c>
      <c r="P18" s="18" t="s">
        <v>18</v>
      </c>
      <c r="Q18" s="5">
        <f t="shared" si="1"/>
        <v>7.2319999999999993</v>
      </c>
      <c r="R18" s="5">
        <f t="shared" si="0"/>
        <v>4.84</v>
      </c>
      <c r="S18" s="5">
        <f t="shared" si="0"/>
        <v>0.44</v>
      </c>
      <c r="T18" s="23">
        <f>('Investor-Inputs'!$G$19 * Q18) + ('Investor-Inputs'!$J$19 * R18) + ('Investor-Inputs'!$N$19 * S18)</f>
        <v>31.815999999999999</v>
      </c>
      <c r="U18" s="27">
        <f t="shared" si="2"/>
        <v>504</v>
      </c>
    </row>
    <row r="19" spans="3:21" x14ac:dyDescent="0.25">
      <c r="C19" s="2" t="s">
        <v>32</v>
      </c>
      <c r="D19" s="2">
        <v>5</v>
      </c>
      <c r="E19" s="2" t="s">
        <v>14</v>
      </c>
      <c r="F19" s="2" t="s">
        <v>15</v>
      </c>
      <c r="G19" s="3">
        <v>6.85</v>
      </c>
      <c r="H19" s="3">
        <v>2.71</v>
      </c>
      <c r="I19" s="3">
        <v>16.02</v>
      </c>
      <c r="J19" s="3">
        <v>8.85</v>
      </c>
      <c r="K19" s="2"/>
      <c r="L19" s="20"/>
      <c r="M19" s="3">
        <v>1</v>
      </c>
      <c r="N19" s="2" t="s">
        <v>16</v>
      </c>
      <c r="O19" s="4" t="s">
        <v>17</v>
      </c>
      <c r="P19" s="18" t="s">
        <v>18</v>
      </c>
      <c r="Q19" s="5">
        <f t="shared" si="1"/>
        <v>6.4080000000000004</v>
      </c>
      <c r="R19" s="5">
        <f t="shared" si="0"/>
        <v>4.4249999999999998</v>
      </c>
      <c r="S19" s="5">
        <f t="shared" si="0"/>
        <v>0.5</v>
      </c>
      <c r="T19" s="23">
        <f>('Investor-Inputs'!$G$19 * Q19) + ('Investor-Inputs'!$J$19 * R19) + ('Investor-Inputs'!$N$19 * S19)</f>
        <v>28.573999999999998</v>
      </c>
      <c r="U19" s="27">
        <f t="shared" si="2"/>
        <v>546</v>
      </c>
    </row>
    <row r="20" spans="3:21" x14ac:dyDescent="0.25">
      <c r="C20" s="2" t="s">
        <v>33</v>
      </c>
      <c r="D20" s="2">
        <v>5</v>
      </c>
      <c r="E20" s="2" t="s">
        <v>14</v>
      </c>
      <c r="F20" s="2" t="s">
        <v>15</v>
      </c>
      <c r="G20" s="3">
        <v>17.399999999999999</v>
      </c>
      <c r="H20" s="3">
        <v>18.98</v>
      </c>
      <c r="I20" s="3">
        <v>25.53</v>
      </c>
      <c r="J20" s="3">
        <v>16.37</v>
      </c>
      <c r="K20" s="3">
        <v>28</v>
      </c>
      <c r="L20" s="21">
        <v>23.73</v>
      </c>
      <c r="M20" s="3">
        <v>0.14000000000000001</v>
      </c>
      <c r="N20" s="2" t="s">
        <v>16</v>
      </c>
      <c r="O20" s="4" t="s">
        <v>28</v>
      </c>
      <c r="P20" s="18" t="s">
        <v>18</v>
      </c>
      <c r="Q20" s="5">
        <f t="shared" si="1"/>
        <v>24.212000000000003</v>
      </c>
      <c r="R20" s="5">
        <f t="shared" si="0"/>
        <v>20.05</v>
      </c>
      <c r="S20" s="5">
        <f t="shared" si="0"/>
        <v>14.07</v>
      </c>
      <c r="T20" s="23">
        <f>('Investor-Inputs'!$G$19 * Q20) + ('Investor-Inputs'!$J$19 * R20) + ('Investor-Inputs'!$N$19 * S20)</f>
        <v>126.80600000000001</v>
      </c>
      <c r="U20" s="27">
        <f t="shared" si="2"/>
        <v>7</v>
      </c>
    </row>
    <row r="21" spans="3:21" x14ac:dyDescent="0.25">
      <c r="C21" s="2" t="s">
        <v>34</v>
      </c>
      <c r="D21" s="2">
        <v>5</v>
      </c>
      <c r="E21" s="2" t="s">
        <v>14</v>
      </c>
      <c r="F21" s="2" t="s">
        <v>15</v>
      </c>
      <c r="G21" s="3">
        <v>7.0000000000000007E-2</v>
      </c>
      <c r="H21" s="3">
        <v>-5.94</v>
      </c>
      <c r="I21" s="3">
        <v>15.26</v>
      </c>
      <c r="J21" s="3">
        <v>6.51</v>
      </c>
      <c r="K21" s="3">
        <v>14.67</v>
      </c>
      <c r="L21" s="21">
        <v>11.25</v>
      </c>
      <c r="M21" s="3">
        <v>3.59</v>
      </c>
      <c r="N21" s="2" t="s">
        <v>16</v>
      </c>
      <c r="O21" s="4" t="s">
        <v>17</v>
      </c>
      <c r="P21" s="18" t="s">
        <v>18</v>
      </c>
      <c r="Q21" s="5">
        <f t="shared" si="1"/>
        <v>13.439</v>
      </c>
      <c r="R21" s="5">
        <f t="shared" si="0"/>
        <v>8.879999999999999</v>
      </c>
      <c r="S21" s="5">
        <f t="shared" si="0"/>
        <v>9.129999999999999</v>
      </c>
      <c r="T21" s="23">
        <f>('Investor-Inputs'!$G$19 * Q21) + ('Investor-Inputs'!$J$19 * R21) + ('Investor-Inputs'!$N$19 * S21)</f>
        <v>67.206999999999994</v>
      </c>
      <c r="U21" s="27">
        <f t="shared" si="2"/>
        <v>202</v>
      </c>
    </row>
    <row r="22" spans="3:21" x14ac:dyDescent="0.25">
      <c r="C22" s="2" t="s">
        <v>35</v>
      </c>
      <c r="D22" s="2">
        <v>4</v>
      </c>
      <c r="E22" s="2" t="s">
        <v>14</v>
      </c>
      <c r="F22" s="2" t="s">
        <v>15</v>
      </c>
      <c r="G22" s="3">
        <v>1.08</v>
      </c>
      <c r="H22" s="3">
        <v>-4.13</v>
      </c>
      <c r="I22" s="3">
        <v>13.56</v>
      </c>
      <c r="J22" s="3">
        <v>5.49</v>
      </c>
      <c r="K22" s="3">
        <v>12.11</v>
      </c>
      <c r="L22" s="21">
        <v>9.43</v>
      </c>
      <c r="M22" s="3">
        <v>0.57999999999999996</v>
      </c>
      <c r="N22" s="2" t="s">
        <v>16</v>
      </c>
      <c r="O22" s="4" t="s">
        <v>24</v>
      </c>
      <c r="P22" s="18" t="s">
        <v>18</v>
      </c>
      <c r="Q22" s="5">
        <f t="shared" si="1"/>
        <v>11.478999999999999</v>
      </c>
      <c r="R22" s="5">
        <f t="shared" si="0"/>
        <v>7.46</v>
      </c>
      <c r="S22" s="5">
        <f t="shared" si="0"/>
        <v>6.3449999999999998</v>
      </c>
      <c r="T22" s="23">
        <f>('Investor-Inputs'!$G$19 * Q22) + ('Investor-Inputs'!$J$19 * R22) + ('Investor-Inputs'!$N$19 * S22)</f>
        <v>55.701999999999998</v>
      </c>
      <c r="U22" s="27">
        <f t="shared" si="2"/>
        <v>258</v>
      </c>
    </row>
    <row r="23" spans="3:21" x14ac:dyDescent="0.25">
      <c r="C23" s="2" t="s">
        <v>36</v>
      </c>
      <c r="D23" s="2">
        <v>4</v>
      </c>
      <c r="E23" s="2" t="s">
        <v>14</v>
      </c>
      <c r="F23" s="2" t="s">
        <v>15</v>
      </c>
      <c r="G23" s="3">
        <v>6.65</v>
      </c>
      <c r="H23" s="3">
        <v>2.5299999999999998</v>
      </c>
      <c r="I23" s="3">
        <v>15.8</v>
      </c>
      <c r="J23" s="3">
        <v>8.67</v>
      </c>
      <c r="K23" s="2"/>
      <c r="L23" s="20"/>
      <c r="M23" s="3">
        <v>1.25</v>
      </c>
      <c r="N23" s="2" t="s">
        <v>16</v>
      </c>
      <c r="O23" s="4" t="s">
        <v>17</v>
      </c>
      <c r="P23" s="18" t="s">
        <v>18</v>
      </c>
      <c r="Q23" s="5">
        <f t="shared" si="1"/>
        <v>6.32</v>
      </c>
      <c r="R23" s="5">
        <f t="shared" si="0"/>
        <v>4.335</v>
      </c>
      <c r="S23" s="5">
        <f t="shared" si="0"/>
        <v>0.625</v>
      </c>
      <c r="T23" s="23">
        <f>('Investor-Inputs'!$G$19 * Q23) + ('Investor-Inputs'!$J$19 * R23) + ('Investor-Inputs'!$N$19 * S23)</f>
        <v>28.255000000000003</v>
      </c>
      <c r="U23" s="27">
        <f t="shared" si="2"/>
        <v>552</v>
      </c>
    </row>
    <row r="24" spans="3:21" x14ac:dyDescent="0.25">
      <c r="C24" s="2" t="s">
        <v>37</v>
      </c>
      <c r="D24" s="2">
        <v>4</v>
      </c>
      <c r="E24" s="2" t="s">
        <v>14</v>
      </c>
      <c r="F24" s="2" t="s">
        <v>15</v>
      </c>
      <c r="G24" s="3">
        <v>2.12</v>
      </c>
      <c r="H24" s="3">
        <v>-3.12</v>
      </c>
      <c r="I24" s="3">
        <v>15.53</v>
      </c>
      <c r="J24" s="3">
        <v>7</v>
      </c>
      <c r="K24" s="3">
        <v>13.55</v>
      </c>
      <c r="L24" s="21">
        <v>10.5</v>
      </c>
      <c r="M24" s="3">
        <v>2.08</v>
      </c>
      <c r="N24" s="2" t="s">
        <v>16</v>
      </c>
      <c r="O24" s="4" t="s">
        <v>17</v>
      </c>
      <c r="P24" s="18" t="s">
        <v>18</v>
      </c>
      <c r="Q24" s="5">
        <f t="shared" si="1"/>
        <v>12.987</v>
      </c>
      <c r="R24" s="5">
        <f t="shared" si="0"/>
        <v>8.75</v>
      </c>
      <c r="S24" s="5">
        <f t="shared" si="0"/>
        <v>7.8150000000000004</v>
      </c>
      <c r="T24" s="23">
        <f>('Investor-Inputs'!$G$19 * Q24) + ('Investor-Inputs'!$J$19 * R24) + ('Investor-Inputs'!$N$19 * S24)</f>
        <v>64.275999999999996</v>
      </c>
      <c r="U24" s="27">
        <f t="shared" si="2"/>
        <v>212</v>
      </c>
    </row>
    <row r="25" spans="3:21" x14ac:dyDescent="0.25">
      <c r="C25" s="2" t="s">
        <v>38</v>
      </c>
      <c r="D25" s="2">
        <v>4</v>
      </c>
      <c r="E25" s="2" t="s">
        <v>14</v>
      </c>
      <c r="F25" s="2" t="s">
        <v>15</v>
      </c>
      <c r="G25" s="3">
        <v>0.86</v>
      </c>
      <c r="H25" s="3">
        <v>-5.19</v>
      </c>
      <c r="I25" s="3">
        <v>12.92</v>
      </c>
      <c r="J25" s="3">
        <v>5.64</v>
      </c>
      <c r="K25" s="3">
        <v>12.12</v>
      </c>
      <c r="L25" s="21">
        <v>9.24</v>
      </c>
      <c r="M25" s="3">
        <v>1.89</v>
      </c>
      <c r="N25" s="2" t="s">
        <v>16</v>
      </c>
      <c r="O25" s="4" t="s">
        <v>24</v>
      </c>
      <c r="P25" s="18" t="s">
        <v>18</v>
      </c>
      <c r="Q25" s="5">
        <f t="shared" si="1"/>
        <v>11.228</v>
      </c>
      <c r="R25" s="5">
        <f t="shared" si="0"/>
        <v>7.4399999999999995</v>
      </c>
      <c r="S25" s="5">
        <f t="shared" si="0"/>
        <v>7.0049999999999999</v>
      </c>
      <c r="T25" s="23">
        <f>('Investor-Inputs'!$G$19 * Q25) + ('Investor-Inputs'!$J$19 * R25) + ('Investor-Inputs'!$N$19 * S25)</f>
        <v>55.568999999999996</v>
      </c>
      <c r="U25" s="27">
        <f t="shared" si="2"/>
        <v>262</v>
      </c>
    </row>
    <row r="26" spans="3:21" x14ac:dyDescent="0.25">
      <c r="C26" s="2" t="s">
        <v>39</v>
      </c>
      <c r="D26" s="2">
        <v>4</v>
      </c>
      <c r="E26" s="2" t="s">
        <v>14</v>
      </c>
      <c r="F26" s="2" t="s">
        <v>15</v>
      </c>
      <c r="G26" s="3">
        <v>8.33</v>
      </c>
      <c r="H26" s="3">
        <v>6.98</v>
      </c>
      <c r="I26" s="3">
        <v>20.72</v>
      </c>
      <c r="J26" s="3">
        <v>10.66</v>
      </c>
      <c r="K26" s="3">
        <v>15.03</v>
      </c>
      <c r="L26" s="21">
        <v>13.29</v>
      </c>
      <c r="M26" s="3">
        <v>0.9</v>
      </c>
      <c r="N26" s="2" t="s">
        <v>16</v>
      </c>
      <c r="O26" s="4" t="s">
        <v>28</v>
      </c>
      <c r="P26" s="18" t="s">
        <v>18</v>
      </c>
      <c r="Q26" s="5">
        <f t="shared" si="1"/>
        <v>15.803000000000001</v>
      </c>
      <c r="R26" s="5">
        <f t="shared" si="0"/>
        <v>11.975</v>
      </c>
      <c r="S26" s="5">
        <f t="shared" si="0"/>
        <v>7.9649999999999999</v>
      </c>
      <c r="T26" s="23">
        <f>('Investor-Inputs'!$G$19 * Q26) + ('Investor-Inputs'!$J$19 * R26) + ('Investor-Inputs'!$N$19 * S26)</f>
        <v>79.324000000000012</v>
      </c>
      <c r="U26" s="27">
        <f t="shared" si="2"/>
        <v>134</v>
      </c>
    </row>
    <row r="27" spans="3:21" x14ac:dyDescent="0.25">
      <c r="C27" s="2" t="s">
        <v>40</v>
      </c>
      <c r="D27" s="2">
        <v>4</v>
      </c>
      <c r="E27" s="2" t="s">
        <v>14</v>
      </c>
      <c r="F27" s="2" t="s">
        <v>15</v>
      </c>
      <c r="G27" s="3">
        <v>3.38</v>
      </c>
      <c r="H27" s="3">
        <v>-1.33</v>
      </c>
      <c r="I27" s="3">
        <v>14.48</v>
      </c>
      <c r="J27" s="3">
        <v>6.77</v>
      </c>
      <c r="K27" s="3">
        <v>13.29</v>
      </c>
      <c r="L27" s="21">
        <v>10.45</v>
      </c>
      <c r="M27" s="3">
        <v>0.11</v>
      </c>
      <c r="N27" s="2" t="s">
        <v>16</v>
      </c>
      <c r="O27" s="4" t="s">
        <v>17</v>
      </c>
      <c r="P27" s="18" t="s">
        <v>18</v>
      </c>
      <c r="Q27" s="5">
        <f t="shared" si="1"/>
        <v>12.437000000000001</v>
      </c>
      <c r="R27" s="5">
        <f t="shared" si="0"/>
        <v>8.61</v>
      </c>
      <c r="S27" s="5">
        <f t="shared" si="0"/>
        <v>6.6999999999999993</v>
      </c>
      <c r="T27" s="23">
        <f>('Investor-Inputs'!$G$19 * Q27) + ('Investor-Inputs'!$J$19 * R27) + ('Investor-Inputs'!$N$19 * S27)</f>
        <v>61.231000000000009</v>
      </c>
      <c r="U27" s="27">
        <f t="shared" si="2"/>
        <v>232</v>
      </c>
    </row>
    <row r="28" spans="3:21" x14ac:dyDescent="0.25">
      <c r="C28" s="2" t="s">
        <v>41</v>
      </c>
      <c r="D28" s="2">
        <v>4</v>
      </c>
      <c r="E28" s="2" t="s">
        <v>14</v>
      </c>
      <c r="F28" s="2" t="s">
        <v>15</v>
      </c>
      <c r="G28" s="3">
        <v>7.86</v>
      </c>
      <c r="H28" s="3">
        <v>6.38</v>
      </c>
      <c r="I28" s="3">
        <v>20.48</v>
      </c>
      <c r="J28" s="3">
        <v>10.34</v>
      </c>
      <c r="K28" s="2"/>
      <c r="L28" s="20"/>
      <c r="M28" s="3">
        <v>1.07</v>
      </c>
      <c r="N28" s="2" t="s">
        <v>16</v>
      </c>
      <c r="O28" s="4" t="s">
        <v>17</v>
      </c>
      <c r="P28" s="18" t="s">
        <v>18</v>
      </c>
      <c r="Q28" s="5">
        <f t="shared" si="1"/>
        <v>8.1920000000000002</v>
      </c>
      <c r="R28" s="5">
        <f t="shared" si="0"/>
        <v>5.17</v>
      </c>
      <c r="S28" s="5">
        <f t="shared" si="0"/>
        <v>0.53500000000000003</v>
      </c>
      <c r="T28" s="23">
        <f>('Investor-Inputs'!$G$19 * Q28) + ('Investor-Inputs'!$J$19 * R28) + ('Investor-Inputs'!$N$19 * S28)</f>
        <v>35.450999999999993</v>
      </c>
      <c r="U28" s="27">
        <f t="shared" si="2"/>
        <v>383</v>
      </c>
    </row>
    <row r="29" spans="3:21" x14ac:dyDescent="0.25">
      <c r="C29" s="2" t="s">
        <v>42</v>
      </c>
      <c r="D29" s="2">
        <v>5</v>
      </c>
      <c r="E29" s="2" t="s">
        <v>14</v>
      </c>
      <c r="F29" s="2" t="s">
        <v>15</v>
      </c>
      <c r="G29" s="3">
        <v>3.05</v>
      </c>
      <c r="H29" s="3">
        <v>-3.29</v>
      </c>
      <c r="I29" s="3">
        <v>16.16</v>
      </c>
      <c r="J29" s="3">
        <v>7.34</v>
      </c>
      <c r="K29" s="3">
        <v>17.079999999999998</v>
      </c>
      <c r="L29" s="21">
        <v>12.88</v>
      </c>
      <c r="M29" s="3">
        <v>2.08</v>
      </c>
      <c r="N29" s="2" t="s">
        <v>16</v>
      </c>
      <c r="O29" s="4" t="s">
        <v>17</v>
      </c>
      <c r="P29" s="18" t="s">
        <v>18</v>
      </c>
      <c r="Q29" s="5">
        <f t="shared" si="1"/>
        <v>15.004</v>
      </c>
      <c r="R29" s="5">
        <f t="shared" si="0"/>
        <v>10.11</v>
      </c>
      <c r="S29" s="5">
        <f t="shared" si="0"/>
        <v>9.5799999999999983</v>
      </c>
      <c r="T29" s="23">
        <f>('Investor-Inputs'!$G$19 * Q29) + ('Investor-Inputs'!$J$19 * R29) + ('Investor-Inputs'!$N$19 * S29)</f>
        <v>74.811999999999998</v>
      </c>
      <c r="U29" s="27">
        <f t="shared" si="2"/>
        <v>162</v>
      </c>
    </row>
    <row r="30" spans="3:21" x14ac:dyDescent="0.25">
      <c r="C30" s="2" t="s">
        <v>43</v>
      </c>
      <c r="D30" s="2">
        <v>4</v>
      </c>
      <c r="E30" s="2" t="s">
        <v>14</v>
      </c>
      <c r="F30" s="2" t="s">
        <v>15</v>
      </c>
      <c r="G30" s="3">
        <v>9.02</v>
      </c>
      <c r="H30" s="3">
        <v>7.57</v>
      </c>
      <c r="I30" s="3">
        <v>21.18</v>
      </c>
      <c r="J30" s="3">
        <v>11.12</v>
      </c>
      <c r="K30" s="3">
        <v>15.23</v>
      </c>
      <c r="L30" s="21">
        <v>13.65</v>
      </c>
      <c r="M30" s="3">
        <v>0.3</v>
      </c>
      <c r="N30" s="2" t="s">
        <v>16</v>
      </c>
      <c r="O30" s="4" t="s">
        <v>28</v>
      </c>
      <c r="P30" s="18" t="s">
        <v>18</v>
      </c>
      <c r="Q30" s="5">
        <f t="shared" si="1"/>
        <v>16.087</v>
      </c>
      <c r="R30" s="5">
        <f t="shared" si="0"/>
        <v>12.385</v>
      </c>
      <c r="S30" s="5">
        <f t="shared" si="0"/>
        <v>7.7650000000000006</v>
      </c>
      <c r="T30" s="23">
        <f>('Investor-Inputs'!$G$19 * Q30) + ('Investor-Inputs'!$J$19 * R30) + ('Investor-Inputs'!$N$19 * S30)</f>
        <v>80.795999999999992</v>
      </c>
      <c r="U30" s="27">
        <f t="shared" si="2"/>
        <v>130</v>
      </c>
    </row>
    <row r="31" spans="3:21" x14ac:dyDescent="0.25">
      <c r="C31" s="2" t="s">
        <v>44</v>
      </c>
      <c r="D31" s="2">
        <v>4</v>
      </c>
      <c r="E31" s="2" t="s">
        <v>14</v>
      </c>
      <c r="F31" s="2" t="s">
        <v>15</v>
      </c>
      <c r="G31" s="3">
        <v>2.3199999999999998</v>
      </c>
      <c r="H31" s="3">
        <v>-2.17</v>
      </c>
      <c r="I31" s="3">
        <v>12.03</v>
      </c>
      <c r="J31" s="3">
        <v>6.1</v>
      </c>
      <c r="K31" s="3">
        <v>12.24</v>
      </c>
      <c r="L31" s="21">
        <v>9.4600000000000009</v>
      </c>
      <c r="M31" s="3">
        <v>1.47</v>
      </c>
      <c r="N31" s="2" t="s">
        <v>16</v>
      </c>
      <c r="O31" s="4" t="s">
        <v>24</v>
      </c>
      <c r="P31" s="18" t="s">
        <v>18</v>
      </c>
      <c r="Q31" s="5">
        <f t="shared" si="1"/>
        <v>10.932</v>
      </c>
      <c r="R31" s="5">
        <f t="shared" si="0"/>
        <v>7.78</v>
      </c>
      <c r="S31" s="5">
        <f t="shared" si="0"/>
        <v>6.8550000000000004</v>
      </c>
      <c r="T31" s="23">
        <f>('Investor-Inputs'!$G$19 * Q31) + ('Investor-Inputs'!$J$19 * R31) + ('Investor-Inputs'!$N$19 * S31)</f>
        <v>55.210999999999999</v>
      </c>
      <c r="U31" s="27">
        <f t="shared" si="2"/>
        <v>268</v>
      </c>
    </row>
    <row r="32" spans="3:21" x14ac:dyDescent="0.25">
      <c r="C32" s="2" t="s">
        <v>45</v>
      </c>
      <c r="D32" s="2">
        <v>5</v>
      </c>
      <c r="E32" s="2" t="s">
        <v>14</v>
      </c>
      <c r="F32" s="2" t="s">
        <v>15</v>
      </c>
      <c r="G32" s="3">
        <v>8.24</v>
      </c>
      <c r="H32" s="3">
        <v>6.83</v>
      </c>
      <c r="I32" s="3">
        <v>20.71</v>
      </c>
      <c r="J32" s="3">
        <v>10.59</v>
      </c>
      <c r="K32" s="2"/>
      <c r="L32" s="20"/>
      <c r="M32" s="3">
        <v>0.71</v>
      </c>
      <c r="N32" s="2" t="s">
        <v>16</v>
      </c>
      <c r="O32" s="4" t="s">
        <v>28</v>
      </c>
      <c r="P32" s="18" t="s">
        <v>18</v>
      </c>
      <c r="Q32" s="5">
        <f t="shared" si="1"/>
        <v>8.2840000000000007</v>
      </c>
      <c r="R32" s="5">
        <f t="shared" si="0"/>
        <v>5.2949999999999999</v>
      </c>
      <c r="S32" s="5">
        <f t="shared" si="0"/>
        <v>0.35499999999999998</v>
      </c>
      <c r="T32" s="23">
        <f>('Investor-Inputs'!$G$19 * Q32) + ('Investor-Inputs'!$J$19 * R32) + ('Investor-Inputs'!$N$19 * S32)</f>
        <v>35.797000000000004</v>
      </c>
      <c r="U32" s="27">
        <f t="shared" si="2"/>
        <v>359</v>
      </c>
    </row>
    <row r="33" spans="3:21" x14ac:dyDescent="0.25">
      <c r="C33" s="2" t="s">
        <v>46</v>
      </c>
      <c r="D33" s="2">
        <v>4</v>
      </c>
      <c r="E33" s="2" t="s">
        <v>14</v>
      </c>
      <c r="F33" s="2" t="s">
        <v>15</v>
      </c>
      <c r="G33" s="3">
        <v>7.83</v>
      </c>
      <c r="H33" s="3">
        <v>5.0199999999999996</v>
      </c>
      <c r="I33" s="3">
        <v>17.79</v>
      </c>
      <c r="J33" s="3">
        <v>9.5500000000000007</v>
      </c>
      <c r="K33" s="3">
        <v>14.25</v>
      </c>
      <c r="L33" s="21">
        <v>12.35</v>
      </c>
      <c r="M33" s="3">
        <v>1.06</v>
      </c>
      <c r="N33" s="2" t="s">
        <v>16</v>
      </c>
      <c r="O33" s="4" t="s">
        <v>17</v>
      </c>
      <c r="P33" s="18" t="s">
        <v>18</v>
      </c>
      <c r="Q33" s="5">
        <f t="shared" si="1"/>
        <v>14.241</v>
      </c>
      <c r="R33" s="5">
        <f t="shared" si="0"/>
        <v>10.95</v>
      </c>
      <c r="S33" s="5">
        <f t="shared" si="0"/>
        <v>7.6550000000000002</v>
      </c>
      <c r="T33" s="23">
        <f>('Investor-Inputs'!$G$19 * Q33) + ('Investor-Inputs'!$J$19 * R33) + ('Investor-Inputs'!$N$19 * S33)</f>
        <v>72.277999999999992</v>
      </c>
      <c r="U33" s="27">
        <f t="shared" si="2"/>
        <v>182</v>
      </c>
    </row>
    <row r="34" spans="3:21" x14ac:dyDescent="0.25">
      <c r="C34" s="2" t="s">
        <v>47</v>
      </c>
      <c r="D34" s="2">
        <v>4</v>
      </c>
      <c r="E34" s="2" t="s">
        <v>14</v>
      </c>
      <c r="F34" s="2" t="s">
        <v>15</v>
      </c>
      <c r="G34" s="3">
        <v>2.52</v>
      </c>
      <c r="H34" s="3">
        <v>-1.62</v>
      </c>
      <c r="I34" s="3">
        <v>13.25</v>
      </c>
      <c r="J34" s="3">
        <v>6.04</v>
      </c>
      <c r="K34" s="3">
        <v>12.53</v>
      </c>
      <c r="L34" s="21">
        <v>9.59</v>
      </c>
      <c r="M34" s="3">
        <v>2.33</v>
      </c>
      <c r="N34" s="2" t="s">
        <v>16</v>
      </c>
      <c r="O34" s="4" t="s">
        <v>17</v>
      </c>
      <c r="P34" s="18" t="s">
        <v>18</v>
      </c>
      <c r="Q34" s="5">
        <f t="shared" si="1"/>
        <v>11.565000000000001</v>
      </c>
      <c r="R34" s="5">
        <f t="shared" si="0"/>
        <v>7.8149999999999995</v>
      </c>
      <c r="S34" s="5">
        <f t="shared" si="0"/>
        <v>7.43</v>
      </c>
      <c r="T34" s="23">
        <f>('Investor-Inputs'!$G$19 * Q34) + ('Investor-Inputs'!$J$19 * R34) + ('Investor-Inputs'!$N$19 * S34)</f>
        <v>57.755000000000003</v>
      </c>
      <c r="U34" s="27">
        <f t="shared" si="2"/>
        <v>244</v>
      </c>
    </row>
    <row r="35" spans="3:21" x14ac:dyDescent="0.25">
      <c r="C35" s="2" t="s">
        <v>48</v>
      </c>
      <c r="D35" s="2">
        <v>4</v>
      </c>
      <c r="E35" s="2" t="s">
        <v>14</v>
      </c>
      <c r="F35" s="2" t="s">
        <v>15</v>
      </c>
      <c r="G35" s="3">
        <v>1.28</v>
      </c>
      <c r="H35" s="3">
        <v>-4.43</v>
      </c>
      <c r="I35" s="3">
        <v>15.01</v>
      </c>
      <c r="J35" s="3">
        <v>7.07</v>
      </c>
      <c r="K35" s="2"/>
      <c r="L35" s="20"/>
      <c r="M35" s="3">
        <v>2.63</v>
      </c>
      <c r="N35" s="2" t="s">
        <v>16</v>
      </c>
      <c r="O35" s="4" t="s">
        <v>17</v>
      </c>
      <c r="P35" s="18" t="s">
        <v>18</v>
      </c>
      <c r="Q35" s="5">
        <f t="shared" si="1"/>
        <v>6.0040000000000004</v>
      </c>
      <c r="R35" s="5">
        <f t="shared" si="0"/>
        <v>3.5350000000000001</v>
      </c>
      <c r="S35" s="5">
        <f t="shared" si="0"/>
        <v>1.3149999999999999</v>
      </c>
      <c r="T35" s="23">
        <f>('Investor-Inputs'!$G$19 * Q35) + ('Investor-Inputs'!$J$19 * R35) + ('Investor-Inputs'!$N$19 * S35)</f>
        <v>26.397000000000002</v>
      </c>
      <c r="U35" s="27">
        <f t="shared" si="2"/>
        <v>566</v>
      </c>
    </row>
    <row r="36" spans="3:21" x14ac:dyDescent="0.25">
      <c r="C36" s="2" t="s">
        <v>49</v>
      </c>
      <c r="D36" s="2">
        <v>5</v>
      </c>
      <c r="E36" s="2" t="s">
        <v>14</v>
      </c>
      <c r="F36" s="2" t="s">
        <v>50</v>
      </c>
      <c r="G36" s="3">
        <v>9.77</v>
      </c>
      <c r="H36" s="3">
        <v>5.76</v>
      </c>
      <c r="I36" s="3">
        <v>23.13</v>
      </c>
      <c r="J36" s="3">
        <v>13.09</v>
      </c>
      <c r="K36" s="3">
        <v>19.12</v>
      </c>
      <c r="L36" s="21">
        <v>17.22</v>
      </c>
      <c r="M36" s="3">
        <v>2.9</v>
      </c>
      <c r="N36" s="2" t="s">
        <v>16</v>
      </c>
      <c r="O36" s="4" t="s">
        <v>28</v>
      </c>
      <c r="P36" s="18" t="s">
        <v>18</v>
      </c>
      <c r="Q36" s="5">
        <f t="shared" si="1"/>
        <v>18.812000000000001</v>
      </c>
      <c r="R36" s="5">
        <f t="shared" si="0"/>
        <v>15.154999999999999</v>
      </c>
      <c r="S36" s="5">
        <f t="shared" si="0"/>
        <v>11.01</v>
      </c>
      <c r="T36" s="23">
        <f>('Investor-Inputs'!$G$19 * Q36) + ('Investor-Inputs'!$J$19 * R36) + ('Investor-Inputs'!$N$19 * S36)</f>
        <v>97.756000000000014</v>
      </c>
      <c r="U36" s="27">
        <f t="shared" si="2"/>
        <v>53</v>
      </c>
    </row>
    <row r="37" spans="3:21" x14ac:dyDescent="0.25">
      <c r="C37" s="2" t="s">
        <v>51</v>
      </c>
      <c r="D37" s="2">
        <v>4</v>
      </c>
      <c r="E37" s="2" t="s">
        <v>14</v>
      </c>
      <c r="F37" s="2" t="s">
        <v>50</v>
      </c>
      <c r="G37" s="3">
        <v>1.71</v>
      </c>
      <c r="H37" s="3">
        <v>-3</v>
      </c>
      <c r="I37" s="3">
        <v>18.399999999999999</v>
      </c>
      <c r="J37" s="3">
        <v>8.3000000000000007</v>
      </c>
      <c r="K37" s="3">
        <v>15.02</v>
      </c>
      <c r="L37" s="21">
        <v>12.74</v>
      </c>
      <c r="M37" s="3">
        <v>2.12</v>
      </c>
      <c r="N37" s="2" t="s">
        <v>16</v>
      </c>
      <c r="O37" s="4" t="s">
        <v>17</v>
      </c>
      <c r="P37" s="18" t="s">
        <v>18</v>
      </c>
      <c r="Q37" s="5">
        <f t="shared" si="1"/>
        <v>14.87</v>
      </c>
      <c r="R37" s="5">
        <f t="shared" si="0"/>
        <v>10.52</v>
      </c>
      <c r="S37" s="5">
        <f t="shared" si="0"/>
        <v>8.57</v>
      </c>
      <c r="T37" s="23">
        <f>('Investor-Inputs'!$G$19 * Q37) + ('Investor-Inputs'!$J$19 * R37) + ('Investor-Inputs'!$N$19 * S37)</f>
        <v>74.22</v>
      </c>
      <c r="U37" s="27">
        <f t="shared" si="2"/>
        <v>166</v>
      </c>
    </row>
    <row r="38" spans="3:21" x14ac:dyDescent="0.25">
      <c r="C38" s="2" t="s">
        <v>52</v>
      </c>
      <c r="D38" s="2">
        <v>4</v>
      </c>
      <c r="E38" s="2" t="s">
        <v>14</v>
      </c>
      <c r="F38" s="2" t="s">
        <v>50</v>
      </c>
      <c r="G38" s="3">
        <v>3.83</v>
      </c>
      <c r="H38" s="3">
        <v>-2.27</v>
      </c>
      <c r="I38" s="3">
        <v>17.899999999999999</v>
      </c>
      <c r="J38" s="3">
        <v>7.49</v>
      </c>
      <c r="K38" s="3">
        <v>17.559999999999999</v>
      </c>
      <c r="L38" s="21">
        <v>13.3</v>
      </c>
      <c r="M38" s="3">
        <v>1.59</v>
      </c>
      <c r="N38" s="2" t="s">
        <v>16</v>
      </c>
      <c r="O38" s="4" t="s">
        <v>17</v>
      </c>
      <c r="P38" s="18" t="s">
        <v>18</v>
      </c>
      <c r="Q38" s="5">
        <f t="shared" si="1"/>
        <v>15.94</v>
      </c>
      <c r="R38" s="5">
        <f t="shared" si="0"/>
        <v>10.395</v>
      </c>
      <c r="S38" s="5">
        <f t="shared" si="0"/>
        <v>9.5749999999999993</v>
      </c>
      <c r="T38" s="23">
        <f>('Investor-Inputs'!$G$19 * Q38) + ('Investor-Inputs'!$J$19 * R38) + ('Investor-Inputs'!$N$19 * S38)</f>
        <v>78.185000000000002</v>
      </c>
      <c r="U38" s="27">
        <f t="shared" si="2"/>
        <v>142</v>
      </c>
    </row>
    <row r="39" spans="3:21" x14ac:dyDescent="0.25">
      <c r="C39" s="2" t="s">
        <v>53</v>
      </c>
      <c r="D39" s="2">
        <v>5</v>
      </c>
      <c r="E39" s="2" t="s">
        <v>14</v>
      </c>
      <c r="F39" s="2" t="s">
        <v>50</v>
      </c>
      <c r="G39" s="3">
        <v>4.76</v>
      </c>
      <c r="H39" s="3">
        <v>-0.1</v>
      </c>
      <c r="I39" s="3">
        <v>19.510000000000002</v>
      </c>
      <c r="J39" s="3">
        <v>10.55</v>
      </c>
      <c r="K39" s="3">
        <v>19.350000000000001</v>
      </c>
      <c r="L39" s="21">
        <v>15.25</v>
      </c>
      <c r="M39" s="3">
        <v>2.3199999999999998</v>
      </c>
      <c r="N39" s="2" t="s">
        <v>16</v>
      </c>
      <c r="O39" s="4" t="s">
        <v>17</v>
      </c>
      <c r="P39" s="18" t="s">
        <v>18</v>
      </c>
      <c r="Q39" s="5">
        <f t="shared" si="1"/>
        <v>17.479000000000003</v>
      </c>
      <c r="R39" s="5">
        <f t="shared" si="0"/>
        <v>12.9</v>
      </c>
      <c r="S39" s="5">
        <f t="shared" si="0"/>
        <v>10.835000000000001</v>
      </c>
      <c r="T39" s="23">
        <f>('Investor-Inputs'!$G$19 * Q39) + ('Investor-Inputs'!$J$19 * R39) + ('Investor-Inputs'!$N$19 * S39)</f>
        <v>89.072000000000003</v>
      </c>
      <c r="U39" s="27">
        <f t="shared" si="2"/>
        <v>83</v>
      </c>
    </row>
    <row r="40" spans="3:21" x14ac:dyDescent="0.25">
      <c r="C40" s="2" t="s">
        <v>54</v>
      </c>
      <c r="D40" s="2">
        <v>4</v>
      </c>
      <c r="E40" s="2" t="s">
        <v>14</v>
      </c>
      <c r="F40" s="2" t="s">
        <v>50</v>
      </c>
      <c r="G40" s="3">
        <v>8.69</v>
      </c>
      <c r="H40" s="3">
        <v>0.98</v>
      </c>
      <c r="I40" s="3">
        <v>23.14</v>
      </c>
      <c r="J40" s="3">
        <v>13.51</v>
      </c>
      <c r="K40" s="3">
        <v>17.71</v>
      </c>
      <c r="L40" s="21">
        <v>16.59</v>
      </c>
      <c r="M40" s="3">
        <v>1.9</v>
      </c>
      <c r="N40" s="2" t="s">
        <v>16</v>
      </c>
      <c r="O40" s="4" t="s">
        <v>28</v>
      </c>
      <c r="P40" s="18" t="s">
        <v>18</v>
      </c>
      <c r="Q40" s="5">
        <f t="shared" si="1"/>
        <v>18.111000000000001</v>
      </c>
      <c r="R40" s="5">
        <f t="shared" si="0"/>
        <v>15.05</v>
      </c>
      <c r="S40" s="5">
        <f t="shared" si="0"/>
        <v>9.8049999999999997</v>
      </c>
      <c r="T40" s="23">
        <f>('Investor-Inputs'!$G$19 * Q40) + ('Investor-Inputs'!$J$19 * R40) + ('Investor-Inputs'!$N$19 * S40)</f>
        <v>94.238</v>
      </c>
      <c r="U40" s="27">
        <f t="shared" si="2"/>
        <v>61</v>
      </c>
    </row>
    <row r="41" spans="3:21" x14ac:dyDescent="0.25">
      <c r="C41" s="2" t="s">
        <v>55</v>
      </c>
      <c r="D41" s="2">
        <v>4</v>
      </c>
      <c r="E41" s="2" t="s">
        <v>14</v>
      </c>
      <c r="F41" s="2" t="s">
        <v>50</v>
      </c>
      <c r="G41" s="3">
        <v>15.63</v>
      </c>
      <c r="H41" s="3">
        <v>9.31</v>
      </c>
      <c r="I41" s="3">
        <v>25.52</v>
      </c>
      <c r="J41" s="3">
        <v>15.88</v>
      </c>
      <c r="K41" s="3">
        <v>20.97</v>
      </c>
      <c r="L41" s="21">
        <v>19.38</v>
      </c>
      <c r="M41" s="3">
        <v>1.91</v>
      </c>
      <c r="N41" s="2" t="s">
        <v>16</v>
      </c>
      <c r="O41" s="4" t="s">
        <v>28</v>
      </c>
      <c r="P41" s="18" t="s">
        <v>18</v>
      </c>
      <c r="Q41" s="5">
        <f t="shared" si="1"/>
        <v>20.692999999999998</v>
      </c>
      <c r="R41" s="5">
        <f t="shared" si="0"/>
        <v>17.63</v>
      </c>
      <c r="S41" s="5">
        <f t="shared" si="0"/>
        <v>11.44</v>
      </c>
      <c r="T41" s="23">
        <f>('Investor-Inputs'!$G$19 * Q41) + ('Investor-Inputs'!$J$19 * R41) + ('Investor-Inputs'!$N$19 * S41)</f>
        <v>108.779</v>
      </c>
      <c r="U41" s="27">
        <f t="shared" si="2"/>
        <v>35</v>
      </c>
    </row>
    <row r="42" spans="3:21" x14ac:dyDescent="0.25">
      <c r="C42" s="2" t="s">
        <v>56</v>
      </c>
      <c r="D42" s="2">
        <v>4</v>
      </c>
      <c r="E42" s="2" t="s">
        <v>14</v>
      </c>
      <c r="F42" s="2" t="s">
        <v>50</v>
      </c>
      <c r="G42" s="3">
        <v>3.77</v>
      </c>
      <c r="H42" s="3">
        <v>-0.43</v>
      </c>
      <c r="I42" s="3">
        <v>19.32</v>
      </c>
      <c r="J42" s="3">
        <v>9.7200000000000006</v>
      </c>
      <c r="K42" s="3">
        <v>16.649999999999999</v>
      </c>
      <c r="L42" s="21">
        <v>13.98</v>
      </c>
      <c r="M42" s="3">
        <v>1.8</v>
      </c>
      <c r="N42" s="2" t="s">
        <v>16</v>
      </c>
      <c r="O42" s="4" t="s">
        <v>17</v>
      </c>
      <c r="P42" s="18" t="s">
        <v>18</v>
      </c>
      <c r="Q42" s="5">
        <f t="shared" si="1"/>
        <v>16.053000000000001</v>
      </c>
      <c r="R42" s="5">
        <f t="shared" si="0"/>
        <v>11.850000000000001</v>
      </c>
      <c r="S42" s="5">
        <f t="shared" si="0"/>
        <v>9.2249999999999996</v>
      </c>
      <c r="T42" s="23">
        <f>('Investor-Inputs'!$G$19 * Q42) + ('Investor-Inputs'!$J$19 * R42) + ('Investor-Inputs'!$N$19 * S42)</f>
        <v>81.084000000000003</v>
      </c>
      <c r="U42" s="27">
        <f t="shared" si="2"/>
        <v>124</v>
      </c>
    </row>
    <row r="43" spans="3:21" x14ac:dyDescent="0.25">
      <c r="C43" s="2" t="s">
        <v>57</v>
      </c>
      <c r="D43" s="2">
        <v>4</v>
      </c>
      <c r="E43" s="2" t="s">
        <v>14</v>
      </c>
      <c r="F43" s="2" t="s">
        <v>50</v>
      </c>
      <c r="G43" s="3">
        <v>7.36</v>
      </c>
      <c r="H43" s="3">
        <v>1</v>
      </c>
      <c r="I43" s="3">
        <v>16.09</v>
      </c>
      <c r="J43" s="3">
        <v>9.1</v>
      </c>
      <c r="K43" s="3">
        <v>16.53</v>
      </c>
      <c r="L43" s="21">
        <v>12.82</v>
      </c>
      <c r="M43" s="3">
        <v>1.72</v>
      </c>
      <c r="N43" s="2" t="s">
        <v>16</v>
      </c>
      <c r="O43" s="4" t="s">
        <v>24</v>
      </c>
      <c r="P43" s="18" t="s">
        <v>18</v>
      </c>
      <c r="Q43" s="5">
        <f t="shared" si="1"/>
        <v>14.701000000000001</v>
      </c>
      <c r="R43" s="5">
        <f t="shared" si="0"/>
        <v>10.96</v>
      </c>
      <c r="S43" s="5">
        <f t="shared" si="0"/>
        <v>9.125</v>
      </c>
      <c r="T43" s="23">
        <f>('Investor-Inputs'!$G$19 * Q43) + ('Investor-Inputs'!$J$19 * R43) + ('Investor-Inputs'!$N$19 * S43)</f>
        <v>75.147999999999996</v>
      </c>
      <c r="U43" s="27">
        <f t="shared" si="2"/>
        <v>156</v>
      </c>
    </row>
    <row r="44" spans="3:21" x14ac:dyDescent="0.25">
      <c r="C44" s="2" t="s">
        <v>58</v>
      </c>
      <c r="D44" s="2">
        <v>5</v>
      </c>
      <c r="E44" s="2" t="s">
        <v>14</v>
      </c>
      <c r="F44" s="2" t="s">
        <v>50</v>
      </c>
      <c r="G44" s="3">
        <v>6.37</v>
      </c>
      <c r="H44" s="3">
        <v>2.1</v>
      </c>
      <c r="I44" s="3">
        <v>20.12</v>
      </c>
      <c r="J44" s="3">
        <v>10.84</v>
      </c>
      <c r="K44" s="3">
        <v>17.61</v>
      </c>
      <c r="L44" s="21">
        <v>15.01</v>
      </c>
      <c r="M44" s="3">
        <v>1.85</v>
      </c>
      <c r="N44" s="2" t="s">
        <v>16</v>
      </c>
      <c r="O44" s="4" t="s">
        <v>17</v>
      </c>
      <c r="P44" s="18" t="s">
        <v>18</v>
      </c>
      <c r="Q44" s="5">
        <f t="shared" si="1"/>
        <v>16.853000000000002</v>
      </c>
      <c r="R44" s="5">
        <f t="shared" si="0"/>
        <v>12.925000000000001</v>
      </c>
      <c r="S44" s="5">
        <f t="shared" si="0"/>
        <v>9.73</v>
      </c>
      <c r="T44" s="23">
        <f>('Investor-Inputs'!$G$19 * Q44) + ('Investor-Inputs'!$J$19 * R44) + ('Investor-Inputs'!$N$19 * S44)</f>
        <v>86.13900000000001</v>
      </c>
      <c r="U44" s="27">
        <f t="shared" si="2"/>
        <v>106</v>
      </c>
    </row>
    <row r="45" spans="3:21" x14ac:dyDescent="0.25">
      <c r="C45" s="2" t="s">
        <v>59</v>
      </c>
      <c r="D45" s="2">
        <v>4</v>
      </c>
      <c r="E45" s="2" t="s">
        <v>14</v>
      </c>
      <c r="F45" s="2" t="s">
        <v>60</v>
      </c>
      <c r="G45" s="3">
        <v>6.66</v>
      </c>
      <c r="H45" s="3">
        <v>2.86</v>
      </c>
      <c r="I45" s="3">
        <v>17.36</v>
      </c>
      <c r="J45" s="3">
        <v>10.210000000000001</v>
      </c>
      <c r="K45" s="3">
        <v>13.7</v>
      </c>
      <c r="L45" s="21">
        <v>12.34</v>
      </c>
      <c r="M45" s="3">
        <v>1.6</v>
      </c>
      <c r="N45" s="2" t="s">
        <v>16</v>
      </c>
      <c r="O45" s="4" t="s">
        <v>17</v>
      </c>
      <c r="P45" s="18" t="s">
        <v>18</v>
      </c>
      <c r="Q45" s="5">
        <f t="shared" si="1"/>
        <v>13.794</v>
      </c>
      <c r="R45" s="5">
        <f t="shared" si="0"/>
        <v>11.275</v>
      </c>
      <c r="S45" s="5">
        <f t="shared" si="0"/>
        <v>7.6499999999999995</v>
      </c>
      <c r="T45" s="23">
        <f>('Investor-Inputs'!$G$19 * Q45) + ('Investor-Inputs'!$J$19 * R45) + ('Investor-Inputs'!$N$19 * S45)</f>
        <v>71.582000000000008</v>
      </c>
      <c r="U45" s="27">
        <f t="shared" si="2"/>
        <v>186</v>
      </c>
    </row>
    <row r="46" spans="3:21" x14ac:dyDescent="0.25">
      <c r="C46" s="2" t="s">
        <v>61</v>
      </c>
      <c r="D46" s="2">
        <v>4</v>
      </c>
      <c r="E46" s="2" t="s">
        <v>14</v>
      </c>
      <c r="F46" s="2" t="s">
        <v>60</v>
      </c>
      <c r="G46" s="3">
        <v>14.82</v>
      </c>
      <c r="H46" s="3">
        <v>11.25</v>
      </c>
      <c r="I46" s="3">
        <v>21.8</v>
      </c>
      <c r="J46" s="3">
        <v>12.44</v>
      </c>
      <c r="K46" s="3">
        <v>18.510000000000002</v>
      </c>
      <c r="L46" s="21">
        <v>16.03</v>
      </c>
      <c r="M46" s="3">
        <v>2.96</v>
      </c>
      <c r="N46" s="2" t="s">
        <v>16</v>
      </c>
      <c r="O46" s="4" t="s">
        <v>28</v>
      </c>
      <c r="P46" s="18" t="s">
        <v>18</v>
      </c>
      <c r="Q46" s="5">
        <f t="shared" si="1"/>
        <v>17.975000000000001</v>
      </c>
      <c r="R46" s="5">
        <f t="shared" si="0"/>
        <v>14.234999999999999</v>
      </c>
      <c r="S46" s="5">
        <f t="shared" si="0"/>
        <v>10.735000000000001</v>
      </c>
      <c r="T46" s="23">
        <f>('Investor-Inputs'!$G$19 * Q46) + ('Investor-Inputs'!$J$19 * R46) + ('Investor-Inputs'!$N$19 * S46)</f>
        <v>93.13000000000001</v>
      </c>
      <c r="U46" s="27">
        <f t="shared" si="2"/>
        <v>71</v>
      </c>
    </row>
    <row r="47" spans="3:21" x14ac:dyDescent="0.25">
      <c r="C47" s="2" t="s">
        <v>62</v>
      </c>
      <c r="D47" s="2">
        <v>4</v>
      </c>
      <c r="E47" s="2" t="s">
        <v>14</v>
      </c>
      <c r="F47" s="2" t="s">
        <v>60</v>
      </c>
      <c r="G47" s="3">
        <v>1.98</v>
      </c>
      <c r="H47" s="3">
        <v>-6.64</v>
      </c>
      <c r="I47" s="3">
        <v>14.93</v>
      </c>
      <c r="J47" s="3">
        <v>6.59</v>
      </c>
      <c r="K47" s="2"/>
      <c r="L47" s="20"/>
      <c r="M47" s="3">
        <v>2.09</v>
      </c>
      <c r="N47" s="2" t="s">
        <v>16</v>
      </c>
      <c r="O47" s="4" t="s">
        <v>24</v>
      </c>
      <c r="P47" s="18" t="s">
        <v>18</v>
      </c>
      <c r="Q47" s="5">
        <f t="shared" si="1"/>
        <v>5.9720000000000004</v>
      </c>
      <c r="R47" s="5">
        <f t="shared" si="0"/>
        <v>3.2949999999999999</v>
      </c>
      <c r="S47" s="5">
        <f t="shared" si="0"/>
        <v>1.0449999999999999</v>
      </c>
      <c r="T47" s="23">
        <f>('Investor-Inputs'!$G$19 * Q47) + ('Investor-Inputs'!$J$19 * R47) + ('Investor-Inputs'!$N$19 * S47)</f>
        <v>25.551000000000002</v>
      </c>
      <c r="U47" s="27">
        <f t="shared" si="2"/>
        <v>568</v>
      </c>
    </row>
    <row r="48" spans="3:21" x14ac:dyDescent="0.25">
      <c r="C48" s="2" t="s">
        <v>63</v>
      </c>
      <c r="D48" s="2">
        <v>4</v>
      </c>
      <c r="E48" s="2" t="s">
        <v>14</v>
      </c>
      <c r="F48" s="2" t="s">
        <v>60</v>
      </c>
      <c r="G48" s="3">
        <v>4.7300000000000004</v>
      </c>
      <c r="H48" s="3">
        <v>-0.41</v>
      </c>
      <c r="I48" s="3">
        <v>17.16</v>
      </c>
      <c r="J48" s="3">
        <v>8.5500000000000007</v>
      </c>
      <c r="K48" s="3">
        <v>15.17</v>
      </c>
      <c r="L48" s="21">
        <v>12.36</v>
      </c>
      <c r="M48" s="3">
        <v>1.92</v>
      </c>
      <c r="N48" s="2" t="s">
        <v>16</v>
      </c>
      <c r="O48" s="4" t="s">
        <v>17</v>
      </c>
      <c r="P48" s="18" t="s">
        <v>18</v>
      </c>
      <c r="Q48" s="5">
        <f t="shared" si="1"/>
        <v>14.449000000000002</v>
      </c>
      <c r="R48" s="5">
        <f t="shared" si="0"/>
        <v>10.455</v>
      </c>
      <c r="S48" s="5">
        <f t="shared" si="0"/>
        <v>8.5449999999999999</v>
      </c>
      <c r="T48" s="23">
        <f>('Investor-Inputs'!$G$19 * Q48) + ('Investor-Inputs'!$J$19 * R48) + ('Investor-Inputs'!$N$19 * S48)</f>
        <v>72.802000000000007</v>
      </c>
      <c r="U48" s="27">
        <f t="shared" si="2"/>
        <v>178</v>
      </c>
    </row>
    <row r="49" spans="3:21" x14ac:dyDescent="0.25">
      <c r="C49" s="2" t="s">
        <v>64</v>
      </c>
      <c r="D49" s="2">
        <v>4</v>
      </c>
      <c r="E49" s="2" t="s">
        <v>14</v>
      </c>
      <c r="F49" s="2" t="s">
        <v>60</v>
      </c>
      <c r="G49" s="3">
        <v>2.37</v>
      </c>
      <c r="H49" s="3">
        <v>-2.2400000000000002</v>
      </c>
      <c r="I49" s="3">
        <v>15.37</v>
      </c>
      <c r="J49" s="3">
        <v>6.9</v>
      </c>
      <c r="K49" s="2"/>
      <c r="L49" s="20"/>
      <c r="M49" s="3">
        <v>2.23</v>
      </c>
      <c r="N49" s="2" t="s">
        <v>16</v>
      </c>
      <c r="O49" s="4" t="s">
        <v>17</v>
      </c>
      <c r="P49" s="18" t="s">
        <v>18</v>
      </c>
      <c r="Q49" s="5">
        <f t="shared" si="1"/>
        <v>6.1479999999999997</v>
      </c>
      <c r="R49" s="5">
        <f t="shared" si="0"/>
        <v>3.45</v>
      </c>
      <c r="S49" s="5">
        <f t="shared" si="0"/>
        <v>1.115</v>
      </c>
      <c r="T49" s="23">
        <f>('Investor-Inputs'!$G$19 * Q49) + ('Investor-Inputs'!$J$19 * R49) + ('Investor-Inputs'!$N$19 * S49)</f>
        <v>26.459</v>
      </c>
      <c r="U49" s="27">
        <f t="shared" si="2"/>
        <v>564</v>
      </c>
    </row>
    <row r="50" spans="3:21" x14ac:dyDescent="0.25">
      <c r="C50" s="2" t="s">
        <v>65</v>
      </c>
      <c r="D50" s="2">
        <v>4</v>
      </c>
      <c r="E50" s="2" t="s">
        <v>14</v>
      </c>
      <c r="F50" s="2" t="s">
        <v>60</v>
      </c>
      <c r="G50" s="3">
        <v>-1.39</v>
      </c>
      <c r="H50" s="3">
        <v>-6.27</v>
      </c>
      <c r="I50" s="3">
        <v>16</v>
      </c>
      <c r="J50" s="3">
        <v>5.83</v>
      </c>
      <c r="K50" s="3">
        <v>15.39</v>
      </c>
      <c r="L50" s="21">
        <v>11.21</v>
      </c>
      <c r="M50" s="3">
        <v>1.71</v>
      </c>
      <c r="N50" s="2" t="s">
        <v>16</v>
      </c>
      <c r="O50" s="4" t="s">
        <v>17</v>
      </c>
      <c r="P50" s="18" t="s">
        <v>18</v>
      </c>
      <c r="Q50" s="5">
        <f t="shared" si="1"/>
        <v>14.095000000000001</v>
      </c>
      <c r="R50" s="5">
        <f t="shared" si="0"/>
        <v>8.52</v>
      </c>
      <c r="S50" s="5">
        <f t="shared" si="0"/>
        <v>8.5500000000000007</v>
      </c>
      <c r="T50" s="23">
        <f>('Investor-Inputs'!$G$19 * Q50) + ('Investor-Inputs'!$J$19 * R50) + ('Investor-Inputs'!$N$19 * S50)</f>
        <v>67.875</v>
      </c>
      <c r="U50" s="27">
        <f t="shared" si="2"/>
        <v>198</v>
      </c>
    </row>
    <row r="51" spans="3:21" x14ac:dyDescent="0.25">
      <c r="C51" s="2" t="s">
        <v>66</v>
      </c>
      <c r="D51" s="2">
        <v>4</v>
      </c>
      <c r="E51" s="2" t="s">
        <v>14</v>
      </c>
      <c r="F51" s="2" t="s">
        <v>60</v>
      </c>
      <c r="G51" s="3">
        <v>-2.84</v>
      </c>
      <c r="H51" s="3">
        <v>-9.8699999999999992</v>
      </c>
      <c r="I51" s="3">
        <v>13.16</v>
      </c>
      <c r="J51" s="3">
        <v>3.34</v>
      </c>
      <c r="K51" s="3">
        <v>13.83</v>
      </c>
      <c r="L51" s="21">
        <v>8.99</v>
      </c>
      <c r="M51" s="3">
        <v>1.88</v>
      </c>
      <c r="N51" s="2" t="s">
        <v>16</v>
      </c>
      <c r="O51" s="4" t="s">
        <v>24</v>
      </c>
      <c r="P51" s="18" t="s">
        <v>18</v>
      </c>
      <c r="Q51" s="5">
        <f t="shared" si="1"/>
        <v>12.179</v>
      </c>
      <c r="R51" s="5">
        <f t="shared" si="0"/>
        <v>6.165</v>
      </c>
      <c r="S51" s="5">
        <f t="shared" si="0"/>
        <v>7.8550000000000004</v>
      </c>
      <c r="T51" s="23">
        <f>('Investor-Inputs'!$G$19 * Q51) + ('Investor-Inputs'!$J$19 * R51) + ('Investor-Inputs'!$N$19 * S51)</f>
        <v>56.721999999999994</v>
      </c>
      <c r="U51" s="27">
        <f t="shared" si="2"/>
        <v>250</v>
      </c>
    </row>
    <row r="52" spans="3:21" x14ac:dyDescent="0.25">
      <c r="C52" s="2" t="s">
        <v>67</v>
      </c>
      <c r="D52" s="2">
        <v>5</v>
      </c>
      <c r="E52" s="2" t="s">
        <v>14</v>
      </c>
      <c r="F52" s="2" t="s">
        <v>60</v>
      </c>
      <c r="G52" s="3">
        <v>1.23</v>
      </c>
      <c r="H52" s="3">
        <v>-4.6399999999999997</v>
      </c>
      <c r="I52" s="3">
        <v>18.760000000000002</v>
      </c>
      <c r="J52" s="3">
        <v>9.6199999999999992</v>
      </c>
      <c r="K52" s="3">
        <v>19.54</v>
      </c>
      <c r="L52" s="21">
        <v>15.3</v>
      </c>
      <c r="M52" s="3">
        <v>1.27</v>
      </c>
      <c r="N52" s="2" t="s">
        <v>16</v>
      </c>
      <c r="O52" s="4" t="s">
        <v>28</v>
      </c>
      <c r="P52" s="18" t="s">
        <v>18</v>
      </c>
      <c r="Q52" s="5">
        <f t="shared" si="1"/>
        <v>17.274000000000001</v>
      </c>
      <c r="R52" s="5">
        <f t="shared" si="0"/>
        <v>12.46</v>
      </c>
      <c r="S52" s="5">
        <f t="shared" si="0"/>
        <v>10.404999999999999</v>
      </c>
      <c r="T52" s="23">
        <f>('Investor-Inputs'!$G$19 * Q52) + ('Investor-Inputs'!$J$19 * R52) + ('Investor-Inputs'!$N$19 * S52)</f>
        <v>87.147000000000006</v>
      </c>
      <c r="U52" s="27">
        <f t="shared" si="2"/>
        <v>93</v>
      </c>
    </row>
    <row r="53" spans="3:21" x14ac:dyDescent="0.25">
      <c r="C53" s="2" t="s">
        <v>68</v>
      </c>
      <c r="D53" s="2">
        <v>5</v>
      </c>
      <c r="E53" s="2" t="s">
        <v>14</v>
      </c>
      <c r="F53" s="2" t="s">
        <v>60</v>
      </c>
      <c r="G53" s="3">
        <v>0.44</v>
      </c>
      <c r="H53" s="3">
        <v>-6.25</v>
      </c>
      <c r="I53" s="3">
        <v>17.86</v>
      </c>
      <c r="J53" s="3">
        <v>8.8800000000000008</v>
      </c>
      <c r="K53" s="3">
        <v>20.23</v>
      </c>
      <c r="L53" s="21">
        <v>15.12</v>
      </c>
      <c r="M53" s="3">
        <v>1.6</v>
      </c>
      <c r="N53" s="2" t="s">
        <v>16</v>
      </c>
      <c r="O53" s="4" t="s">
        <v>28</v>
      </c>
      <c r="P53" s="18" t="s">
        <v>18</v>
      </c>
      <c r="Q53" s="5">
        <f t="shared" si="1"/>
        <v>17.259</v>
      </c>
      <c r="R53" s="5">
        <f t="shared" si="0"/>
        <v>12</v>
      </c>
      <c r="S53" s="5">
        <f t="shared" si="0"/>
        <v>10.915000000000001</v>
      </c>
      <c r="T53" s="23">
        <f>('Investor-Inputs'!$G$19 * Q53) + ('Investor-Inputs'!$J$19 * R53) + ('Investor-Inputs'!$N$19 * S53)</f>
        <v>86.692000000000007</v>
      </c>
      <c r="U53" s="27">
        <f t="shared" si="2"/>
        <v>96</v>
      </c>
    </row>
    <row r="54" spans="3:21" x14ac:dyDescent="0.25">
      <c r="C54" s="2" t="s">
        <v>69</v>
      </c>
      <c r="D54" s="2">
        <v>4</v>
      </c>
      <c r="E54" s="2" t="s">
        <v>14</v>
      </c>
      <c r="F54" s="2" t="s">
        <v>60</v>
      </c>
      <c r="G54" s="3">
        <v>-1.51</v>
      </c>
      <c r="H54" s="3">
        <v>-7.69</v>
      </c>
      <c r="I54" s="3">
        <v>13.6</v>
      </c>
      <c r="J54" s="3">
        <v>4.2300000000000004</v>
      </c>
      <c r="K54" s="3">
        <v>15.97</v>
      </c>
      <c r="L54" s="21">
        <v>10.71</v>
      </c>
      <c r="M54" s="3">
        <v>1.83</v>
      </c>
      <c r="N54" s="2" t="s">
        <v>16</v>
      </c>
      <c r="O54" s="4" t="s">
        <v>24</v>
      </c>
      <c r="P54" s="18" t="s">
        <v>18</v>
      </c>
      <c r="Q54" s="5">
        <f t="shared" si="1"/>
        <v>13.425000000000001</v>
      </c>
      <c r="R54" s="5">
        <f t="shared" si="0"/>
        <v>7.4700000000000006</v>
      </c>
      <c r="S54" s="5">
        <f t="shared" si="0"/>
        <v>8.9</v>
      </c>
      <c r="T54" s="23">
        <f>('Investor-Inputs'!$G$19 * Q54) + ('Investor-Inputs'!$J$19 * R54) + ('Investor-Inputs'!$N$19 * S54)</f>
        <v>64.115000000000009</v>
      </c>
      <c r="U54" s="27">
        <f t="shared" si="2"/>
        <v>214</v>
      </c>
    </row>
    <row r="55" spans="3:21" x14ac:dyDescent="0.25">
      <c r="C55" s="2" t="s">
        <v>70</v>
      </c>
      <c r="D55" s="2">
        <v>4</v>
      </c>
      <c r="E55" s="2" t="s">
        <v>14</v>
      </c>
      <c r="F55" s="2" t="s">
        <v>60</v>
      </c>
      <c r="G55" s="3">
        <v>8.0500000000000007</v>
      </c>
      <c r="H55" s="3">
        <v>3.56</v>
      </c>
      <c r="I55" s="3">
        <v>18.27</v>
      </c>
      <c r="J55" s="3">
        <v>9.9700000000000006</v>
      </c>
      <c r="K55" s="3">
        <v>15.49</v>
      </c>
      <c r="L55" s="21">
        <v>13.23</v>
      </c>
      <c r="M55" s="3">
        <v>2.2999999999999998</v>
      </c>
      <c r="N55" s="2" t="s">
        <v>16</v>
      </c>
      <c r="O55" s="4" t="s">
        <v>17</v>
      </c>
      <c r="P55" s="18" t="s">
        <v>18</v>
      </c>
      <c r="Q55" s="5">
        <f t="shared" si="1"/>
        <v>15.053000000000001</v>
      </c>
      <c r="R55" s="5">
        <f t="shared" si="0"/>
        <v>11.600000000000001</v>
      </c>
      <c r="S55" s="5">
        <f t="shared" si="0"/>
        <v>8.8949999999999996</v>
      </c>
      <c r="T55" s="23">
        <f>('Investor-Inputs'!$G$19 * Q55) + ('Investor-Inputs'!$J$19 * R55) + ('Investor-Inputs'!$N$19 * S55)</f>
        <v>77.254000000000005</v>
      </c>
      <c r="U55" s="27">
        <f t="shared" si="2"/>
        <v>148</v>
      </c>
    </row>
    <row r="56" spans="3:21" x14ac:dyDescent="0.25">
      <c r="C56" s="2" t="s">
        <v>71</v>
      </c>
      <c r="D56" s="2">
        <v>5</v>
      </c>
      <c r="E56" s="2" t="s">
        <v>14</v>
      </c>
      <c r="F56" s="2" t="s">
        <v>60</v>
      </c>
      <c r="G56" s="3">
        <v>2.85</v>
      </c>
      <c r="H56" s="3">
        <v>-0.6</v>
      </c>
      <c r="I56" s="3">
        <v>18.97</v>
      </c>
      <c r="J56" s="3">
        <v>9.6999999999999993</v>
      </c>
      <c r="K56" s="3">
        <v>17.79</v>
      </c>
      <c r="L56" s="21">
        <v>14.33</v>
      </c>
      <c r="M56" s="3">
        <v>0.98</v>
      </c>
      <c r="N56" s="2" t="s">
        <v>16</v>
      </c>
      <c r="O56" s="4" t="s">
        <v>28</v>
      </c>
      <c r="P56" s="18" t="s">
        <v>18</v>
      </c>
      <c r="Q56" s="5">
        <f t="shared" si="1"/>
        <v>16.483000000000001</v>
      </c>
      <c r="R56" s="5">
        <f t="shared" si="0"/>
        <v>12.015000000000001</v>
      </c>
      <c r="S56" s="5">
        <f t="shared" si="0"/>
        <v>9.3849999999999998</v>
      </c>
      <c r="T56" s="23">
        <f>('Investor-Inputs'!$G$19 * Q56) + ('Investor-Inputs'!$J$19 * R56) + ('Investor-Inputs'!$N$19 * S56)</f>
        <v>82.864000000000004</v>
      </c>
      <c r="U56" s="27">
        <f t="shared" si="2"/>
        <v>118</v>
      </c>
    </row>
    <row r="57" spans="3:21" x14ac:dyDescent="0.25">
      <c r="C57" s="2" t="s">
        <v>72</v>
      </c>
      <c r="D57" s="2">
        <v>4</v>
      </c>
      <c r="E57" s="2" t="s">
        <v>14</v>
      </c>
      <c r="F57" s="2" t="s">
        <v>60</v>
      </c>
      <c r="G57" s="3">
        <v>7.85</v>
      </c>
      <c r="H57" s="3">
        <v>0.06</v>
      </c>
      <c r="I57" s="3">
        <v>17.489999999999998</v>
      </c>
      <c r="J57" s="3">
        <v>9.1</v>
      </c>
      <c r="K57" s="2"/>
      <c r="L57" s="20"/>
      <c r="M57" s="3">
        <v>1.77</v>
      </c>
      <c r="N57" s="2" t="s">
        <v>16</v>
      </c>
      <c r="O57" s="4" t="s">
        <v>17</v>
      </c>
      <c r="P57" s="18" t="s">
        <v>18</v>
      </c>
      <c r="Q57" s="5">
        <f t="shared" si="1"/>
        <v>6.9959999999999996</v>
      </c>
      <c r="R57" s="5">
        <f t="shared" si="0"/>
        <v>4.55</v>
      </c>
      <c r="S57" s="5">
        <f t="shared" si="0"/>
        <v>0.88500000000000001</v>
      </c>
      <c r="T57" s="23">
        <f>('Investor-Inputs'!$G$19 * Q57) + ('Investor-Inputs'!$J$19 * R57) + ('Investor-Inputs'!$N$19 * S57)</f>
        <v>30.973000000000003</v>
      </c>
      <c r="U57" s="27">
        <f t="shared" si="2"/>
        <v>510</v>
      </c>
    </row>
    <row r="58" spans="3:21" x14ac:dyDescent="0.25">
      <c r="C58" s="2" t="s">
        <v>73</v>
      </c>
      <c r="D58" s="2">
        <v>5</v>
      </c>
      <c r="E58" s="2" t="s">
        <v>14</v>
      </c>
      <c r="F58" s="2" t="s">
        <v>60</v>
      </c>
      <c r="G58" s="3">
        <v>3.28</v>
      </c>
      <c r="H58" s="3">
        <v>-3.63</v>
      </c>
      <c r="I58" s="3">
        <v>19.91</v>
      </c>
      <c r="J58" s="3">
        <v>10.72</v>
      </c>
      <c r="K58" s="3">
        <v>17.899999999999999</v>
      </c>
      <c r="L58" s="21">
        <v>14.94</v>
      </c>
      <c r="M58" s="3">
        <v>2.37</v>
      </c>
      <c r="N58" s="2" t="s">
        <v>16</v>
      </c>
      <c r="O58" s="4" t="s">
        <v>28</v>
      </c>
      <c r="P58" s="18" t="s">
        <v>18</v>
      </c>
      <c r="Q58" s="5">
        <f t="shared" si="1"/>
        <v>16.914000000000001</v>
      </c>
      <c r="R58" s="5">
        <f t="shared" si="0"/>
        <v>12.83</v>
      </c>
      <c r="S58" s="5">
        <f t="shared" si="0"/>
        <v>10.135</v>
      </c>
      <c r="T58" s="23">
        <f>('Investor-Inputs'!$G$19 * Q58) + ('Investor-Inputs'!$J$19 * R58) + ('Investor-Inputs'!$N$19 * S58)</f>
        <v>86.537000000000006</v>
      </c>
      <c r="U58" s="27">
        <f t="shared" si="2"/>
        <v>100</v>
      </c>
    </row>
    <row r="59" spans="3:21" x14ac:dyDescent="0.25">
      <c r="C59" s="2" t="s">
        <v>74</v>
      </c>
      <c r="D59" s="2">
        <v>5</v>
      </c>
      <c r="E59" s="2" t="s">
        <v>14</v>
      </c>
      <c r="F59" s="2" t="s">
        <v>60</v>
      </c>
      <c r="G59" s="3">
        <v>16.829999999999998</v>
      </c>
      <c r="H59" s="3">
        <v>10.82</v>
      </c>
      <c r="I59" s="3">
        <v>24.99</v>
      </c>
      <c r="J59" s="3">
        <v>16.190000000000001</v>
      </c>
      <c r="K59" s="3">
        <v>22.43</v>
      </c>
      <c r="L59" s="21">
        <v>19.21</v>
      </c>
      <c r="M59" s="3">
        <v>2.09</v>
      </c>
      <c r="N59" s="2" t="s">
        <v>16</v>
      </c>
      <c r="O59" s="4" t="s">
        <v>28</v>
      </c>
      <c r="P59" s="18" t="s">
        <v>18</v>
      </c>
      <c r="Q59" s="5">
        <f t="shared" si="1"/>
        <v>21.210999999999999</v>
      </c>
      <c r="R59" s="5">
        <f t="shared" si="0"/>
        <v>17.700000000000003</v>
      </c>
      <c r="S59" s="5">
        <f t="shared" si="0"/>
        <v>12.26</v>
      </c>
      <c r="T59" s="23">
        <f>('Investor-Inputs'!$G$19 * Q59) + ('Investor-Inputs'!$J$19 * R59) + ('Investor-Inputs'!$N$19 * S59)</f>
        <v>111.29300000000001</v>
      </c>
      <c r="U59" s="27">
        <f t="shared" si="2"/>
        <v>27</v>
      </c>
    </row>
    <row r="60" spans="3:21" x14ac:dyDescent="0.25">
      <c r="C60" s="2" t="s">
        <v>75</v>
      </c>
      <c r="D60" s="2">
        <v>4</v>
      </c>
      <c r="E60" s="2" t="s">
        <v>14</v>
      </c>
      <c r="F60" s="2" t="s">
        <v>60</v>
      </c>
      <c r="G60" s="3">
        <v>1.78</v>
      </c>
      <c r="H60" s="3">
        <v>-6.19</v>
      </c>
      <c r="I60" s="3">
        <v>18.68</v>
      </c>
      <c r="J60" s="3">
        <v>7.97</v>
      </c>
      <c r="K60" s="2"/>
      <c r="L60" s="20"/>
      <c r="M60" s="3">
        <v>1.86</v>
      </c>
      <c r="N60" s="2" t="s">
        <v>16</v>
      </c>
      <c r="O60" s="4" t="s">
        <v>28</v>
      </c>
      <c r="P60" s="18" t="s">
        <v>18</v>
      </c>
      <c r="Q60" s="5">
        <f t="shared" si="1"/>
        <v>7.4720000000000004</v>
      </c>
      <c r="R60" s="5">
        <f t="shared" si="0"/>
        <v>3.9849999999999999</v>
      </c>
      <c r="S60" s="5">
        <f t="shared" si="0"/>
        <v>0.93</v>
      </c>
      <c r="T60" s="23">
        <f>('Investor-Inputs'!$G$19 * Q60) + ('Investor-Inputs'!$J$19 * R60) + ('Investor-Inputs'!$N$19 * S60)</f>
        <v>31.315999999999999</v>
      </c>
      <c r="U60" s="27">
        <f t="shared" si="2"/>
        <v>508</v>
      </c>
    </row>
    <row r="61" spans="3:21" x14ac:dyDescent="0.25">
      <c r="C61" s="2" t="s">
        <v>76</v>
      </c>
      <c r="D61" s="2">
        <v>4</v>
      </c>
      <c r="E61" s="2" t="s">
        <v>14</v>
      </c>
      <c r="F61" s="2" t="s">
        <v>60</v>
      </c>
      <c r="G61" s="3">
        <v>-2.85</v>
      </c>
      <c r="H61" s="3">
        <v>-7.26</v>
      </c>
      <c r="I61" s="3">
        <v>21.28</v>
      </c>
      <c r="J61" s="3">
        <v>8.11</v>
      </c>
      <c r="K61" s="3">
        <v>15.82</v>
      </c>
      <c r="L61" s="21">
        <v>12.98</v>
      </c>
      <c r="M61" s="3">
        <v>1.89</v>
      </c>
      <c r="N61" s="2" t="s">
        <v>16</v>
      </c>
      <c r="O61" s="4" t="s">
        <v>17</v>
      </c>
      <c r="P61" s="18" t="s">
        <v>18</v>
      </c>
      <c r="Q61" s="5">
        <f t="shared" si="1"/>
        <v>16.422000000000001</v>
      </c>
      <c r="R61" s="5">
        <f t="shared" si="0"/>
        <v>10.545</v>
      </c>
      <c r="S61" s="5">
        <f t="shared" si="0"/>
        <v>8.8550000000000004</v>
      </c>
      <c r="T61" s="23">
        <f>('Investor-Inputs'!$G$19 * Q61) + ('Investor-Inputs'!$J$19 * R61) + ('Investor-Inputs'!$N$19 * S61)</f>
        <v>79.211000000000013</v>
      </c>
      <c r="U61" s="27">
        <f t="shared" si="2"/>
        <v>136</v>
      </c>
    </row>
    <row r="62" spans="3:21" x14ac:dyDescent="0.25">
      <c r="C62" s="2" t="s">
        <v>77</v>
      </c>
      <c r="D62" s="2">
        <v>4</v>
      </c>
      <c r="E62" s="2" t="s">
        <v>14</v>
      </c>
      <c r="F62" s="2" t="s">
        <v>60</v>
      </c>
      <c r="G62" s="3">
        <v>9.9700000000000006</v>
      </c>
      <c r="H62" s="3">
        <v>4.3899999999999997</v>
      </c>
      <c r="I62" s="3">
        <v>19.84</v>
      </c>
      <c r="J62" s="3">
        <v>10.02</v>
      </c>
      <c r="K62" s="2"/>
      <c r="L62" s="20"/>
      <c r="M62" s="3">
        <v>2.52</v>
      </c>
      <c r="N62" s="2" t="s">
        <v>16</v>
      </c>
      <c r="O62" s="4" t="s">
        <v>28</v>
      </c>
      <c r="P62" s="18" t="s">
        <v>18</v>
      </c>
      <c r="Q62" s="5">
        <f t="shared" si="1"/>
        <v>7.9359999999999999</v>
      </c>
      <c r="R62" s="5">
        <f t="shared" si="0"/>
        <v>5.01</v>
      </c>
      <c r="S62" s="5">
        <f t="shared" si="0"/>
        <v>1.26</v>
      </c>
      <c r="T62" s="23">
        <f>('Investor-Inputs'!$G$19 * Q62) + ('Investor-Inputs'!$J$19 * R62) + ('Investor-Inputs'!$N$19 * S62)</f>
        <v>35.088000000000001</v>
      </c>
      <c r="U62" s="27">
        <f t="shared" si="2"/>
        <v>391</v>
      </c>
    </row>
    <row r="63" spans="3:21" x14ac:dyDescent="0.25">
      <c r="C63" s="2" t="s">
        <v>78</v>
      </c>
      <c r="D63" s="2">
        <v>4</v>
      </c>
      <c r="E63" s="2" t="s">
        <v>14</v>
      </c>
      <c r="F63" s="2" t="s">
        <v>60</v>
      </c>
      <c r="G63" s="3">
        <v>-1.05</v>
      </c>
      <c r="H63" s="3">
        <v>-4.0199999999999996</v>
      </c>
      <c r="I63" s="3">
        <v>18.45</v>
      </c>
      <c r="J63" s="3">
        <v>5.13</v>
      </c>
      <c r="K63" s="3">
        <v>17.329999999999998</v>
      </c>
      <c r="L63" s="21">
        <v>12.93</v>
      </c>
      <c r="M63" s="3">
        <v>2.58</v>
      </c>
      <c r="N63" s="2" t="s">
        <v>16</v>
      </c>
      <c r="O63" s="4" t="s">
        <v>17</v>
      </c>
      <c r="P63" s="18" t="s">
        <v>18</v>
      </c>
      <c r="Q63" s="5">
        <f t="shared" si="1"/>
        <v>16.044999999999998</v>
      </c>
      <c r="R63" s="5">
        <f t="shared" si="0"/>
        <v>9.0299999999999994</v>
      </c>
      <c r="S63" s="5">
        <f t="shared" si="0"/>
        <v>9.9549999999999983</v>
      </c>
      <c r="T63" s="23">
        <f>('Investor-Inputs'!$G$19 * Q63) + ('Investor-Inputs'!$J$19 * R63) + ('Investor-Inputs'!$N$19 * S63)</f>
        <v>76.149999999999991</v>
      </c>
      <c r="U63" s="27">
        <f t="shared" si="2"/>
        <v>152</v>
      </c>
    </row>
    <row r="64" spans="3:21" x14ac:dyDescent="0.25">
      <c r="C64" s="2" t="s">
        <v>79</v>
      </c>
      <c r="D64" s="2">
        <v>4</v>
      </c>
      <c r="E64" s="2" t="s">
        <v>14</v>
      </c>
      <c r="F64" s="2" t="s">
        <v>60</v>
      </c>
      <c r="G64" s="3">
        <v>10</v>
      </c>
      <c r="H64" s="3">
        <v>2.92</v>
      </c>
      <c r="I64" s="3">
        <v>16.21</v>
      </c>
      <c r="J64" s="3">
        <v>9.9700000000000006</v>
      </c>
      <c r="K64" s="3">
        <v>14.22</v>
      </c>
      <c r="L64" s="21">
        <v>11.98</v>
      </c>
      <c r="M64" s="3">
        <v>2.29</v>
      </c>
      <c r="N64" s="2" t="s">
        <v>16</v>
      </c>
      <c r="O64" s="4" t="s">
        <v>24</v>
      </c>
      <c r="P64" s="18" t="s">
        <v>18</v>
      </c>
      <c r="Q64" s="5">
        <f t="shared" si="1"/>
        <v>13.594000000000001</v>
      </c>
      <c r="R64" s="5">
        <f t="shared" si="0"/>
        <v>10.975000000000001</v>
      </c>
      <c r="S64" s="5">
        <f t="shared" si="0"/>
        <v>8.2550000000000008</v>
      </c>
      <c r="T64" s="23">
        <f>('Investor-Inputs'!$G$19 * Q64) + ('Investor-Inputs'!$J$19 * R64) + ('Investor-Inputs'!$N$19 * S64)</f>
        <v>70.987000000000009</v>
      </c>
      <c r="U64" s="27">
        <f t="shared" si="2"/>
        <v>188</v>
      </c>
    </row>
    <row r="65" spans="3:21" x14ac:dyDescent="0.25">
      <c r="C65" s="2" t="s">
        <v>80</v>
      </c>
      <c r="D65" s="2">
        <v>4</v>
      </c>
      <c r="E65" s="2" t="s">
        <v>14</v>
      </c>
      <c r="F65" s="2" t="s">
        <v>60</v>
      </c>
      <c r="G65" s="3">
        <v>3.23</v>
      </c>
      <c r="H65" s="3">
        <v>1.2</v>
      </c>
      <c r="I65" s="3">
        <v>17.739999999999998</v>
      </c>
      <c r="J65" s="3">
        <v>8.67</v>
      </c>
      <c r="K65" s="3">
        <v>16.82</v>
      </c>
      <c r="L65" s="21">
        <v>13.34</v>
      </c>
      <c r="M65" s="3">
        <v>2.13</v>
      </c>
      <c r="N65" s="2" t="s">
        <v>16</v>
      </c>
      <c r="O65" s="4" t="s">
        <v>17</v>
      </c>
      <c r="P65" s="18" t="s">
        <v>18</v>
      </c>
      <c r="Q65" s="5">
        <f t="shared" si="1"/>
        <v>15.506</v>
      </c>
      <c r="R65" s="5">
        <f t="shared" si="0"/>
        <v>11.004999999999999</v>
      </c>
      <c r="S65" s="5">
        <f t="shared" si="0"/>
        <v>9.4749999999999996</v>
      </c>
      <c r="T65" s="23">
        <f>('Investor-Inputs'!$G$19 * Q65) + ('Investor-Inputs'!$J$19 * R65) + ('Investor-Inputs'!$N$19 * S65)</f>
        <v>78.002999999999986</v>
      </c>
      <c r="U65" s="27">
        <f t="shared" si="2"/>
        <v>144</v>
      </c>
    </row>
    <row r="66" spans="3:21" x14ac:dyDescent="0.25">
      <c r="C66" s="2" t="s">
        <v>81</v>
      </c>
      <c r="D66" s="2">
        <v>4</v>
      </c>
      <c r="E66" s="2" t="s">
        <v>14</v>
      </c>
      <c r="F66" s="2" t="s">
        <v>60</v>
      </c>
      <c r="G66" s="3">
        <v>2.2400000000000002</v>
      </c>
      <c r="H66" s="3">
        <v>-1.87</v>
      </c>
      <c r="I66" s="3">
        <v>16.010000000000002</v>
      </c>
      <c r="J66" s="3">
        <v>6.27</v>
      </c>
      <c r="K66" s="3">
        <v>14.3</v>
      </c>
      <c r="L66" s="21">
        <v>10.93</v>
      </c>
      <c r="M66" s="3">
        <v>2.09</v>
      </c>
      <c r="N66" s="2" t="s">
        <v>16</v>
      </c>
      <c r="O66" s="4" t="s">
        <v>17</v>
      </c>
      <c r="P66" s="18" t="s">
        <v>18</v>
      </c>
      <c r="Q66" s="5">
        <f t="shared" si="1"/>
        <v>13.554000000000002</v>
      </c>
      <c r="R66" s="5">
        <f t="shared" si="0"/>
        <v>8.6</v>
      </c>
      <c r="S66" s="5">
        <f t="shared" si="0"/>
        <v>8.1950000000000003</v>
      </c>
      <c r="T66" s="23">
        <f>('Investor-Inputs'!$G$19 * Q66) + ('Investor-Inputs'!$J$19 * R66) + ('Investor-Inputs'!$N$19 * S66)</f>
        <v>66.057000000000016</v>
      </c>
      <c r="U66" s="27">
        <f t="shared" si="2"/>
        <v>204</v>
      </c>
    </row>
    <row r="67" spans="3:21" x14ac:dyDescent="0.25">
      <c r="C67" s="2" t="s">
        <v>82</v>
      </c>
      <c r="D67" s="2">
        <v>5</v>
      </c>
      <c r="E67" s="2" t="s">
        <v>14</v>
      </c>
      <c r="F67" s="2" t="s">
        <v>60</v>
      </c>
      <c r="G67" s="3">
        <v>3.77</v>
      </c>
      <c r="H67" s="3">
        <v>-1.46</v>
      </c>
      <c r="I67" s="3">
        <v>16.829999999999998</v>
      </c>
      <c r="J67" s="3">
        <v>9.27</v>
      </c>
      <c r="K67" s="3">
        <v>15.85</v>
      </c>
      <c r="L67" s="21">
        <v>13.27</v>
      </c>
      <c r="M67" s="3">
        <v>1.36</v>
      </c>
      <c r="N67" s="2" t="s">
        <v>16</v>
      </c>
      <c r="O67" s="4" t="s">
        <v>17</v>
      </c>
      <c r="P67" s="18" t="s">
        <v>18</v>
      </c>
      <c r="Q67" s="5">
        <f t="shared" si="1"/>
        <v>14.657</v>
      </c>
      <c r="R67" s="5">
        <f t="shared" si="0"/>
        <v>11.27</v>
      </c>
      <c r="S67" s="5">
        <f t="shared" si="0"/>
        <v>8.6050000000000004</v>
      </c>
      <c r="T67" s="23">
        <f>('Investor-Inputs'!$G$19 * Q67) + ('Investor-Inputs'!$J$19 * R67) + ('Investor-Inputs'!$N$19 * S67)</f>
        <v>75.116</v>
      </c>
      <c r="U67" s="27">
        <f t="shared" si="2"/>
        <v>158</v>
      </c>
    </row>
    <row r="68" spans="3:21" x14ac:dyDescent="0.25">
      <c r="C68" s="2" t="s">
        <v>83</v>
      </c>
      <c r="D68" s="2">
        <v>4</v>
      </c>
      <c r="E68" s="2" t="s">
        <v>14</v>
      </c>
      <c r="F68" s="2" t="s">
        <v>60</v>
      </c>
      <c r="G68" s="3">
        <v>15.83</v>
      </c>
      <c r="H68" s="3">
        <v>15.25</v>
      </c>
      <c r="I68" s="3">
        <v>18.72</v>
      </c>
      <c r="J68" s="3">
        <v>14.78</v>
      </c>
      <c r="K68" s="3">
        <v>15.04</v>
      </c>
      <c r="L68" s="21">
        <v>14.29</v>
      </c>
      <c r="M68" s="3">
        <v>1.51</v>
      </c>
      <c r="N68" s="2" t="s">
        <v>16</v>
      </c>
      <c r="O68" s="4" t="s">
        <v>17</v>
      </c>
      <c r="P68" s="18" t="s">
        <v>18</v>
      </c>
      <c r="Q68" s="5">
        <f t="shared" si="1"/>
        <v>15.007999999999999</v>
      </c>
      <c r="R68" s="5">
        <f t="shared" si="0"/>
        <v>14.535</v>
      </c>
      <c r="S68" s="5">
        <f t="shared" si="0"/>
        <v>8.2750000000000004</v>
      </c>
      <c r="T68" s="23">
        <f>('Investor-Inputs'!$G$19 * Q68) + ('Investor-Inputs'!$J$19 * R68) + ('Investor-Inputs'!$N$19 * S68)</f>
        <v>82.369</v>
      </c>
      <c r="U68" s="27">
        <f t="shared" si="2"/>
        <v>122</v>
      </c>
    </row>
    <row r="69" spans="3:21" x14ac:dyDescent="0.25">
      <c r="C69" s="2" t="s">
        <v>84</v>
      </c>
      <c r="D69" s="2">
        <v>4</v>
      </c>
      <c r="E69" s="2" t="s">
        <v>14</v>
      </c>
      <c r="F69" s="2" t="s">
        <v>60</v>
      </c>
      <c r="G69" s="3">
        <v>7.5</v>
      </c>
      <c r="H69" s="3">
        <v>2.77</v>
      </c>
      <c r="I69" s="3">
        <v>16.7</v>
      </c>
      <c r="J69" s="3">
        <v>8.59</v>
      </c>
      <c r="K69" s="2"/>
      <c r="L69" s="20"/>
      <c r="M69" s="3">
        <v>2.42</v>
      </c>
      <c r="N69" s="2" t="s">
        <v>16</v>
      </c>
      <c r="O69" s="4" t="s">
        <v>17</v>
      </c>
      <c r="P69" s="18" t="s">
        <v>18</v>
      </c>
      <c r="Q69" s="5">
        <f t="shared" si="1"/>
        <v>6.68</v>
      </c>
      <c r="R69" s="5">
        <f t="shared" si="0"/>
        <v>4.2949999999999999</v>
      </c>
      <c r="S69" s="5">
        <f t="shared" si="0"/>
        <v>1.21</v>
      </c>
      <c r="T69" s="23">
        <f>('Investor-Inputs'!$G$19 * Q69) + ('Investor-Inputs'!$J$19 * R69) + ('Investor-Inputs'!$N$19 * S69)</f>
        <v>29.84</v>
      </c>
      <c r="U69" s="27">
        <f t="shared" si="2"/>
        <v>542</v>
      </c>
    </row>
    <row r="70" spans="3:21" x14ac:dyDescent="0.25">
      <c r="C70" s="2" t="s">
        <v>85</v>
      </c>
      <c r="D70" s="2">
        <v>4</v>
      </c>
      <c r="E70" s="2" t="s">
        <v>14</v>
      </c>
      <c r="F70" s="2" t="s">
        <v>60</v>
      </c>
      <c r="G70" s="3">
        <v>3.73</v>
      </c>
      <c r="H70" s="3">
        <v>-1.94</v>
      </c>
      <c r="I70" s="3">
        <v>17.63</v>
      </c>
      <c r="J70" s="3">
        <v>8.34</v>
      </c>
      <c r="K70" s="2"/>
      <c r="L70" s="20"/>
      <c r="M70" s="3">
        <v>1.92</v>
      </c>
      <c r="N70" s="2" t="s">
        <v>16</v>
      </c>
      <c r="O70" s="4" t="s">
        <v>17</v>
      </c>
      <c r="P70" s="18" t="s">
        <v>18</v>
      </c>
      <c r="Q70" s="5">
        <f t="shared" si="1"/>
        <v>7.0519999999999996</v>
      </c>
      <c r="R70" s="5">
        <f t="shared" si="0"/>
        <v>4.17</v>
      </c>
      <c r="S70" s="5">
        <f t="shared" si="0"/>
        <v>0.96</v>
      </c>
      <c r="T70" s="23">
        <f>('Investor-Inputs'!$G$19 * Q70) + ('Investor-Inputs'!$J$19 * R70) + ('Investor-Inputs'!$N$19 * S70)</f>
        <v>30.456</v>
      </c>
      <c r="U70" s="27">
        <f t="shared" si="2"/>
        <v>516</v>
      </c>
    </row>
    <row r="71" spans="3:21" x14ac:dyDescent="0.25">
      <c r="C71" s="2" t="s">
        <v>86</v>
      </c>
      <c r="D71" s="2">
        <v>5</v>
      </c>
      <c r="E71" s="2" t="s">
        <v>14</v>
      </c>
      <c r="F71" s="2" t="s">
        <v>87</v>
      </c>
      <c r="G71" s="3">
        <v>7.22</v>
      </c>
      <c r="H71" s="3">
        <v>1.24</v>
      </c>
      <c r="I71" s="3">
        <v>21.3</v>
      </c>
      <c r="J71" s="3">
        <v>10.81</v>
      </c>
      <c r="K71" s="2"/>
      <c r="L71" s="20"/>
      <c r="M71" s="3">
        <v>2.29</v>
      </c>
      <c r="N71" s="2" t="s">
        <v>16</v>
      </c>
      <c r="O71" s="4" t="s">
        <v>28</v>
      </c>
      <c r="P71" s="18" t="s">
        <v>18</v>
      </c>
      <c r="Q71" s="5">
        <f t="shared" si="1"/>
        <v>8.5200000000000014</v>
      </c>
      <c r="R71" s="5">
        <f t="shared" si="0"/>
        <v>5.4050000000000002</v>
      </c>
      <c r="S71" s="5">
        <f t="shared" si="0"/>
        <v>1.145</v>
      </c>
      <c r="T71" s="23">
        <f>('Investor-Inputs'!$G$19 * Q71) + ('Investor-Inputs'!$J$19 * R71) + ('Investor-Inputs'!$N$19 * S71)</f>
        <v>37.515000000000008</v>
      </c>
      <c r="U71" s="27">
        <f t="shared" si="2"/>
        <v>335</v>
      </c>
    </row>
    <row r="72" spans="3:21" x14ac:dyDescent="0.25">
      <c r="C72" s="2" t="s">
        <v>88</v>
      </c>
      <c r="D72" s="2">
        <v>4</v>
      </c>
      <c r="E72" s="2" t="s">
        <v>14</v>
      </c>
      <c r="F72" s="2" t="s">
        <v>87</v>
      </c>
      <c r="G72" s="3">
        <v>13.77</v>
      </c>
      <c r="H72" s="3">
        <v>10.51</v>
      </c>
      <c r="I72" s="3">
        <v>21.12</v>
      </c>
      <c r="J72" s="3">
        <v>12.49</v>
      </c>
      <c r="K72" s="2"/>
      <c r="L72" s="20"/>
      <c r="M72" s="3">
        <v>2.2400000000000002</v>
      </c>
      <c r="N72" s="2" t="s">
        <v>16</v>
      </c>
      <c r="O72" s="4" t="s">
        <v>17</v>
      </c>
      <c r="P72" s="18" t="s">
        <v>18</v>
      </c>
      <c r="Q72" s="5">
        <f t="shared" ref="Q72:Q135" si="3">I72*0.4+K72*0.5</f>
        <v>8.4480000000000004</v>
      </c>
      <c r="R72" s="5">
        <f t="shared" ref="R72:S135" si="4">(L72+J72)/2</f>
        <v>6.2450000000000001</v>
      </c>
      <c r="S72" s="5">
        <f t="shared" si="4"/>
        <v>1.1200000000000001</v>
      </c>
      <c r="T72" s="23">
        <f>('Investor-Inputs'!$G$19 * Q72) + ('Investor-Inputs'!$J$19 * R72) + ('Investor-Inputs'!$N$19 * S72)</f>
        <v>38.954000000000001</v>
      </c>
      <c r="U72" s="27">
        <f t="shared" ref="U72:U135" si="5">_xlfn.RANK.EQ(T72,$T$7:$T$592,0)</f>
        <v>333</v>
      </c>
    </row>
    <row r="73" spans="3:21" x14ac:dyDescent="0.25">
      <c r="C73" s="2" t="s">
        <v>89</v>
      </c>
      <c r="D73" s="2">
        <v>4</v>
      </c>
      <c r="E73" s="2" t="s">
        <v>14</v>
      </c>
      <c r="F73" s="2" t="s">
        <v>87</v>
      </c>
      <c r="G73" s="3">
        <v>9.74</v>
      </c>
      <c r="H73" s="3">
        <v>5.17</v>
      </c>
      <c r="I73" s="3">
        <v>22.24</v>
      </c>
      <c r="J73" s="3">
        <v>11.16</v>
      </c>
      <c r="K73" s="2"/>
      <c r="L73" s="20"/>
      <c r="M73" s="3">
        <v>2.2200000000000002</v>
      </c>
      <c r="N73" s="2" t="s">
        <v>16</v>
      </c>
      <c r="O73" s="4" t="s">
        <v>28</v>
      </c>
      <c r="P73" s="18" t="s">
        <v>18</v>
      </c>
      <c r="Q73" s="5">
        <f t="shared" si="3"/>
        <v>8.895999999999999</v>
      </c>
      <c r="R73" s="5">
        <f t="shared" si="4"/>
        <v>5.58</v>
      </c>
      <c r="S73" s="5">
        <f t="shared" si="4"/>
        <v>1.1100000000000001</v>
      </c>
      <c r="T73" s="23">
        <f>('Investor-Inputs'!$G$19 * Q73) + ('Investor-Inputs'!$J$19 * R73) + ('Investor-Inputs'!$N$19 * S73)</f>
        <v>38.957999999999998</v>
      </c>
      <c r="U73" s="27">
        <f t="shared" si="5"/>
        <v>331</v>
      </c>
    </row>
    <row r="74" spans="3:21" x14ac:dyDescent="0.25">
      <c r="C74" s="2" t="s">
        <v>90</v>
      </c>
      <c r="D74" s="2">
        <v>4</v>
      </c>
      <c r="E74" s="2" t="s">
        <v>14</v>
      </c>
      <c r="F74" s="2" t="s">
        <v>87</v>
      </c>
      <c r="G74" s="3">
        <v>7.74</v>
      </c>
      <c r="H74" s="3">
        <v>7.85</v>
      </c>
      <c r="I74" s="3">
        <v>20.309999999999999</v>
      </c>
      <c r="J74" s="3">
        <v>11.44</v>
      </c>
      <c r="K74" s="3">
        <v>17.829999999999998</v>
      </c>
      <c r="L74" s="21">
        <v>15.16</v>
      </c>
      <c r="M74" s="3">
        <v>2.02</v>
      </c>
      <c r="N74" s="2" t="s">
        <v>16</v>
      </c>
      <c r="O74" s="4" t="s">
        <v>24</v>
      </c>
      <c r="P74" s="18" t="s">
        <v>18</v>
      </c>
      <c r="Q74" s="5">
        <f t="shared" si="3"/>
        <v>17.039000000000001</v>
      </c>
      <c r="R74" s="5">
        <f t="shared" si="4"/>
        <v>13.3</v>
      </c>
      <c r="S74" s="5">
        <f t="shared" si="4"/>
        <v>9.9249999999999989</v>
      </c>
      <c r="T74" s="23">
        <f>('Investor-Inputs'!$G$19 * Q74) + ('Investor-Inputs'!$J$19 * R74) + ('Investor-Inputs'!$N$19 * S74)</f>
        <v>87.64200000000001</v>
      </c>
      <c r="U74" s="27">
        <f t="shared" si="5"/>
        <v>89</v>
      </c>
    </row>
    <row r="75" spans="3:21" x14ac:dyDescent="0.25">
      <c r="C75" s="2" t="s">
        <v>91</v>
      </c>
      <c r="D75" s="2">
        <v>5</v>
      </c>
      <c r="E75" s="2" t="s">
        <v>14</v>
      </c>
      <c r="F75" s="2" t="s">
        <v>87</v>
      </c>
      <c r="G75" s="3">
        <v>11.15</v>
      </c>
      <c r="H75" s="3">
        <v>6.06</v>
      </c>
      <c r="I75" s="3">
        <v>22.8</v>
      </c>
      <c r="J75" s="3">
        <v>11.97</v>
      </c>
      <c r="K75" s="2"/>
      <c r="L75" s="20"/>
      <c r="M75" s="3">
        <v>1.64</v>
      </c>
      <c r="N75" s="2" t="s">
        <v>16</v>
      </c>
      <c r="O75" s="4" t="s">
        <v>28</v>
      </c>
      <c r="P75" s="18" t="s">
        <v>18</v>
      </c>
      <c r="Q75" s="5">
        <f t="shared" si="3"/>
        <v>9.120000000000001</v>
      </c>
      <c r="R75" s="5">
        <f t="shared" si="4"/>
        <v>5.9850000000000003</v>
      </c>
      <c r="S75" s="5">
        <f t="shared" si="4"/>
        <v>0.82</v>
      </c>
      <c r="T75" s="23">
        <f>('Investor-Inputs'!$G$19 * Q75) + ('Investor-Inputs'!$J$19 * R75) + ('Investor-Inputs'!$N$19 * S75)</f>
        <v>40.150000000000006</v>
      </c>
      <c r="U75" s="27">
        <f t="shared" si="5"/>
        <v>325</v>
      </c>
    </row>
    <row r="76" spans="3:21" x14ac:dyDescent="0.25">
      <c r="C76" s="2" t="s">
        <v>92</v>
      </c>
      <c r="D76" s="2">
        <v>4</v>
      </c>
      <c r="E76" s="2" t="s">
        <v>14</v>
      </c>
      <c r="F76" s="2" t="s">
        <v>87</v>
      </c>
      <c r="G76" s="3">
        <v>10.06</v>
      </c>
      <c r="H76" s="3">
        <v>6.32</v>
      </c>
      <c r="I76" s="3">
        <v>20.36</v>
      </c>
      <c r="J76" s="3">
        <v>10.59</v>
      </c>
      <c r="K76" s="3">
        <v>17.84</v>
      </c>
      <c r="L76" s="21">
        <v>14.39</v>
      </c>
      <c r="M76" s="3">
        <v>2.91</v>
      </c>
      <c r="N76" s="2" t="s">
        <v>16</v>
      </c>
      <c r="O76" s="4" t="s">
        <v>17</v>
      </c>
      <c r="P76" s="18" t="s">
        <v>18</v>
      </c>
      <c r="Q76" s="5">
        <f t="shared" si="3"/>
        <v>17.064</v>
      </c>
      <c r="R76" s="5">
        <f t="shared" si="4"/>
        <v>12.49</v>
      </c>
      <c r="S76" s="5">
        <f t="shared" si="4"/>
        <v>10.375</v>
      </c>
      <c r="T76" s="23">
        <f>('Investor-Inputs'!$G$19 * Q76) + ('Investor-Inputs'!$J$19 * R76) + ('Investor-Inputs'!$N$19 * S76)</f>
        <v>86.546999999999997</v>
      </c>
      <c r="U76" s="27">
        <f t="shared" si="5"/>
        <v>98</v>
      </c>
    </row>
    <row r="77" spans="3:21" x14ac:dyDescent="0.25">
      <c r="C77" s="2" t="s">
        <v>93</v>
      </c>
      <c r="D77" s="2">
        <v>5</v>
      </c>
      <c r="E77" s="2" t="s">
        <v>14</v>
      </c>
      <c r="F77" s="2" t="s">
        <v>87</v>
      </c>
      <c r="G77" s="3">
        <v>7.19</v>
      </c>
      <c r="H77" s="3">
        <v>1.59</v>
      </c>
      <c r="I77" s="3">
        <v>20.32</v>
      </c>
      <c r="J77" s="3">
        <v>9.75</v>
      </c>
      <c r="K77" s="3">
        <v>21.31</v>
      </c>
      <c r="L77" s="21">
        <v>16.27</v>
      </c>
      <c r="M77" s="3">
        <v>1.47</v>
      </c>
      <c r="N77" s="2" t="s">
        <v>16</v>
      </c>
      <c r="O77" s="4" t="s">
        <v>17</v>
      </c>
      <c r="P77" s="18" t="s">
        <v>18</v>
      </c>
      <c r="Q77" s="5">
        <f t="shared" si="3"/>
        <v>18.783000000000001</v>
      </c>
      <c r="R77" s="5">
        <f t="shared" si="4"/>
        <v>13.01</v>
      </c>
      <c r="S77" s="5">
        <f t="shared" si="4"/>
        <v>11.389999999999999</v>
      </c>
      <c r="T77" s="23">
        <f>('Investor-Inputs'!$G$19 * Q77) + ('Investor-Inputs'!$J$19 * R77) + ('Investor-Inputs'!$N$19 * S77)</f>
        <v>93.759</v>
      </c>
      <c r="U77" s="27">
        <f t="shared" si="5"/>
        <v>63</v>
      </c>
    </row>
    <row r="78" spans="3:21" x14ac:dyDescent="0.25">
      <c r="C78" s="2" t="s">
        <v>94</v>
      </c>
      <c r="D78" s="2">
        <v>5</v>
      </c>
      <c r="E78" s="2" t="s">
        <v>14</v>
      </c>
      <c r="F78" s="2" t="s">
        <v>95</v>
      </c>
      <c r="G78" s="3">
        <v>10.73</v>
      </c>
      <c r="H78" s="3">
        <v>5.67</v>
      </c>
      <c r="I78" s="3">
        <v>24.72</v>
      </c>
      <c r="J78" s="3">
        <v>14.67</v>
      </c>
      <c r="K78" s="3">
        <v>21.02</v>
      </c>
      <c r="L78" s="21">
        <v>18.48</v>
      </c>
      <c r="M78" s="3">
        <v>1.8</v>
      </c>
      <c r="N78" s="2" t="s">
        <v>16</v>
      </c>
      <c r="O78" s="4" t="s">
        <v>17</v>
      </c>
      <c r="P78" s="18" t="s">
        <v>18</v>
      </c>
      <c r="Q78" s="5">
        <f t="shared" si="3"/>
        <v>20.398</v>
      </c>
      <c r="R78" s="5">
        <f t="shared" si="4"/>
        <v>16.574999999999999</v>
      </c>
      <c r="S78" s="5">
        <f t="shared" si="4"/>
        <v>11.41</v>
      </c>
      <c r="T78" s="23">
        <f>('Investor-Inputs'!$G$19 * Q78) + ('Investor-Inputs'!$J$19 * R78) + ('Investor-Inputs'!$N$19 * S78)</f>
        <v>105.75399999999999</v>
      </c>
      <c r="U78" s="27">
        <f t="shared" si="5"/>
        <v>39</v>
      </c>
    </row>
    <row r="79" spans="3:21" x14ac:dyDescent="0.25">
      <c r="C79" s="2" t="s">
        <v>96</v>
      </c>
      <c r="D79" s="2">
        <v>5</v>
      </c>
      <c r="E79" s="2" t="s">
        <v>14</v>
      </c>
      <c r="F79" s="2" t="s">
        <v>95</v>
      </c>
      <c r="G79" s="3">
        <v>10.69</v>
      </c>
      <c r="H79" s="3">
        <v>2.78</v>
      </c>
      <c r="I79" s="3">
        <v>23.56</v>
      </c>
      <c r="J79" s="3">
        <v>12.21</v>
      </c>
      <c r="K79" s="3">
        <v>21.25</v>
      </c>
      <c r="L79" s="21">
        <v>18.34</v>
      </c>
      <c r="M79" s="3">
        <v>1.3</v>
      </c>
      <c r="N79" s="2" t="s">
        <v>16</v>
      </c>
      <c r="O79" s="4" t="s">
        <v>17</v>
      </c>
      <c r="P79" s="18" t="s">
        <v>18</v>
      </c>
      <c r="Q79" s="5">
        <f t="shared" si="3"/>
        <v>20.048999999999999</v>
      </c>
      <c r="R79" s="5">
        <f t="shared" si="4"/>
        <v>15.275</v>
      </c>
      <c r="S79" s="5">
        <f t="shared" si="4"/>
        <v>11.275</v>
      </c>
      <c r="T79" s="23">
        <f>('Investor-Inputs'!$G$19 * Q79) + ('Investor-Inputs'!$J$19 * R79) + ('Investor-Inputs'!$N$19 * S79)</f>
        <v>101.97200000000001</v>
      </c>
      <c r="U79" s="27">
        <f t="shared" si="5"/>
        <v>45</v>
      </c>
    </row>
    <row r="80" spans="3:21" x14ac:dyDescent="0.25">
      <c r="C80" s="2" t="s">
        <v>97</v>
      </c>
      <c r="D80" s="2">
        <v>4</v>
      </c>
      <c r="E80" s="2" t="s">
        <v>14</v>
      </c>
      <c r="F80" s="2" t="s">
        <v>95</v>
      </c>
      <c r="G80" s="3">
        <v>24.33</v>
      </c>
      <c r="H80" s="3">
        <v>19.63</v>
      </c>
      <c r="I80" s="3">
        <v>26.21</v>
      </c>
      <c r="J80" s="3">
        <v>18.78</v>
      </c>
      <c r="K80" s="3">
        <v>20.73</v>
      </c>
      <c r="L80" s="21">
        <v>19.600000000000001</v>
      </c>
      <c r="M80" s="3">
        <v>1.84</v>
      </c>
      <c r="N80" s="2" t="s">
        <v>16</v>
      </c>
      <c r="O80" s="4" t="s">
        <v>17</v>
      </c>
      <c r="P80" s="18" t="s">
        <v>18</v>
      </c>
      <c r="Q80" s="5">
        <f t="shared" si="3"/>
        <v>20.849000000000004</v>
      </c>
      <c r="R80" s="5">
        <f t="shared" si="4"/>
        <v>19.190000000000001</v>
      </c>
      <c r="S80" s="5">
        <f t="shared" si="4"/>
        <v>11.285</v>
      </c>
      <c r="T80" s="23">
        <f>('Investor-Inputs'!$G$19 * Q80) + ('Investor-Inputs'!$J$19 * R80) + ('Investor-Inputs'!$N$19 * S80)</f>
        <v>112.21200000000002</v>
      </c>
      <c r="U80" s="27">
        <f t="shared" si="5"/>
        <v>25</v>
      </c>
    </row>
    <row r="81" spans="3:21" x14ac:dyDescent="0.25">
      <c r="C81" s="2" t="s">
        <v>98</v>
      </c>
      <c r="D81" s="2">
        <v>4</v>
      </c>
      <c r="E81" s="2" t="s">
        <v>14</v>
      </c>
      <c r="F81" s="2" t="s">
        <v>95</v>
      </c>
      <c r="G81" s="3">
        <v>13.6</v>
      </c>
      <c r="H81" s="3">
        <v>4.16</v>
      </c>
      <c r="I81" s="3">
        <v>25.59</v>
      </c>
      <c r="J81" s="3">
        <v>16.05</v>
      </c>
      <c r="K81" s="3">
        <v>21.01</v>
      </c>
      <c r="L81" s="21">
        <v>19.18</v>
      </c>
      <c r="M81" s="3">
        <v>2.17</v>
      </c>
      <c r="N81" s="2" t="s">
        <v>16</v>
      </c>
      <c r="O81" s="4" t="s">
        <v>28</v>
      </c>
      <c r="P81" s="18" t="s">
        <v>18</v>
      </c>
      <c r="Q81" s="5">
        <f t="shared" si="3"/>
        <v>20.741</v>
      </c>
      <c r="R81" s="5">
        <f t="shared" si="4"/>
        <v>17.615000000000002</v>
      </c>
      <c r="S81" s="5">
        <f t="shared" si="4"/>
        <v>11.59</v>
      </c>
      <c r="T81" s="23">
        <f>('Investor-Inputs'!$G$19 * Q81) + ('Investor-Inputs'!$J$19 * R81) + ('Investor-Inputs'!$N$19 * S81)</f>
        <v>109.04300000000001</v>
      </c>
      <c r="U81" s="27">
        <f t="shared" si="5"/>
        <v>33</v>
      </c>
    </row>
    <row r="82" spans="3:21" x14ac:dyDescent="0.25">
      <c r="C82" s="2" t="s">
        <v>99</v>
      </c>
      <c r="D82" s="2">
        <v>4</v>
      </c>
      <c r="E82" s="2" t="s">
        <v>14</v>
      </c>
      <c r="F82" s="2" t="s">
        <v>95</v>
      </c>
      <c r="G82" s="3">
        <v>11.39</v>
      </c>
      <c r="H82" s="3">
        <v>6.83</v>
      </c>
      <c r="I82" s="3">
        <v>23.61</v>
      </c>
      <c r="J82" s="3">
        <v>12.25</v>
      </c>
      <c r="K82" s="3">
        <v>16.78</v>
      </c>
      <c r="L82" s="21">
        <v>16.260000000000002</v>
      </c>
      <c r="M82" s="3">
        <v>1.84</v>
      </c>
      <c r="N82" s="2" t="s">
        <v>16</v>
      </c>
      <c r="O82" s="4" t="s">
        <v>17</v>
      </c>
      <c r="P82" s="18" t="s">
        <v>18</v>
      </c>
      <c r="Q82" s="5">
        <f t="shared" si="3"/>
        <v>17.834000000000003</v>
      </c>
      <c r="R82" s="5">
        <f t="shared" si="4"/>
        <v>14.255000000000001</v>
      </c>
      <c r="S82" s="5">
        <f t="shared" si="4"/>
        <v>9.31</v>
      </c>
      <c r="T82" s="23">
        <f>('Investor-Inputs'!$G$19 * Q82) + ('Investor-Inputs'!$J$19 * R82) + ('Investor-Inputs'!$N$19 * S82)</f>
        <v>91.322000000000017</v>
      </c>
      <c r="U82" s="27">
        <f t="shared" si="5"/>
        <v>75</v>
      </c>
    </row>
    <row r="83" spans="3:21" x14ac:dyDescent="0.25">
      <c r="C83" s="2" t="s">
        <v>100</v>
      </c>
      <c r="D83" s="2">
        <v>4</v>
      </c>
      <c r="E83" s="2" t="s">
        <v>14</v>
      </c>
      <c r="F83" s="2" t="s">
        <v>95</v>
      </c>
      <c r="G83" s="3">
        <v>7.09</v>
      </c>
      <c r="H83" s="3">
        <v>3.68</v>
      </c>
      <c r="I83" s="3">
        <v>23.26</v>
      </c>
      <c r="J83" s="3">
        <v>10.26</v>
      </c>
      <c r="K83" s="2"/>
      <c r="L83" s="20"/>
      <c r="M83" s="3">
        <v>2.31</v>
      </c>
      <c r="N83" s="2" t="s">
        <v>16</v>
      </c>
      <c r="O83" s="4" t="s">
        <v>17</v>
      </c>
      <c r="P83" s="18" t="s">
        <v>18</v>
      </c>
      <c r="Q83" s="5">
        <f t="shared" si="3"/>
        <v>9.3040000000000003</v>
      </c>
      <c r="R83" s="5">
        <f t="shared" si="4"/>
        <v>5.13</v>
      </c>
      <c r="S83" s="5">
        <f t="shared" si="4"/>
        <v>1.155</v>
      </c>
      <c r="T83" s="23">
        <f>('Investor-Inputs'!$G$19 * Q83) + ('Investor-Inputs'!$J$19 * R83) + ('Investor-Inputs'!$N$19 * S83)</f>
        <v>39.326999999999998</v>
      </c>
      <c r="U83" s="27">
        <f t="shared" si="5"/>
        <v>329</v>
      </c>
    </row>
    <row r="84" spans="3:21" x14ac:dyDescent="0.25">
      <c r="C84" s="2" t="s">
        <v>101</v>
      </c>
      <c r="D84" s="2">
        <v>4</v>
      </c>
      <c r="E84" s="2" t="s">
        <v>14</v>
      </c>
      <c r="F84" s="2" t="s">
        <v>95</v>
      </c>
      <c r="G84" s="3">
        <v>13.91</v>
      </c>
      <c r="H84" s="3">
        <v>6.69</v>
      </c>
      <c r="I84" s="3">
        <v>21.47</v>
      </c>
      <c r="J84" s="3">
        <v>13.11</v>
      </c>
      <c r="K84" s="3">
        <v>18.88</v>
      </c>
      <c r="L84" s="21">
        <v>16.37</v>
      </c>
      <c r="M84" s="3">
        <v>1.45</v>
      </c>
      <c r="N84" s="2" t="s">
        <v>16</v>
      </c>
      <c r="O84" s="4" t="s">
        <v>24</v>
      </c>
      <c r="P84" s="18" t="s">
        <v>18</v>
      </c>
      <c r="Q84" s="5">
        <f t="shared" si="3"/>
        <v>18.027999999999999</v>
      </c>
      <c r="R84" s="5">
        <f t="shared" si="4"/>
        <v>14.74</v>
      </c>
      <c r="S84" s="5">
        <f t="shared" si="4"/>
        <v>10.164999999999999</v>
      </c>
      <c r="T84" s="23">
        <f>('Investor-Inputs'!$G$19 * Q84) + ('Investor-Inputs'!$J$19 * R84) + ('Investor-Inputs'!$N$19 * S84)</f>
        <v>93.728999999999985</v>
      </c>
      <c r="U84" s="27">
        <f t="shared" si="5"/>
        <v>65</v>
      </c>
    </row>
    <row r="85" spans="3:21" x14ac:dyDescent="0.25">
      <c r="C85" s="2" t="s">
        <v>102</v>
      </c>
      <c r="D85" s="2">
        <v>4</v>
      </c>
      <c r="E85" s="2" t="s">
        <v>14</v>
      </c>
      <c r="F85" s="2" t="s">
        <v>95</v>
      </c>
      <c r="G85" s="3">
        <v>12.03</v>
      </c>
      <c r="H85" s="3">
        <v>11.03</v>
      </c>
      <c r="I85" s="3">
        <v>24.21</v>
      </c>
      <c r="J85" s="3">
        <v>13.27</v>
      </c>
      <c r="K85" s="3">
        <v>20.100000000000001</v>
      </c>
      <c r="L85" s="21">
        <v>17.7</v>
      </c>
      <c r="M85" s="3">
        <v>2.27</v>
      </c>
      <c r="N85" s="2" t="s">
        <v>16</v>
      </c>
      <c r="O85" s="4" t="s">
        <v>17</v>
      </c>
      <c r="P85" s="18" t="s">
        <v>18</v>
      </c>
      <c r="Q85" s="5">
        <f t="shared" si="3"/>
        <v>19.734000000000002</v>
      </c>
      <c r="R85" s="5">
        <f t="shared" si="4"/>
        <v>15.484999999999999</v>
      </c>
      <c r="S85" s="5">
        <f t="shared" si="4"/>
        <v>11.185</v>
      </c>
      <c r="T85" s="23">
        <f>('Investor-Inputs'!$G$19 * Q85) + ('Investor-Inputs'!$J$19 * R85) + ('Investor-Inputs'!$N$19 * S85)</f>
        <v>101.357</v>
      </c>
      <c r="U85" s="27">
        <f t="shared" si="5"/>
        <v>47</v>
      </c>
    </row>
    <row r="86" spans="3:21" x14ac:dyDescent="0.25">
      <c r="C86" s="2" t="s">
        <v>103</v>
      </c>
      <c r="D86" s="2">
        <v>4</v>
      </c>
      <c r="E86" s="2" t="s">
        <v>14</v>
      </c>
      <c r="F86" s="2" t="s">
        <v>95</v>
      </c>
      <c r="G86" s="3">
        <v>-3.85</v>
      </c>
      <c r="H86" s="3">
        <v>-12.01</v>
      </c>
      <c r="I86" s="3">
        <v>20.88</v>
      </c>
      <c r="J86" s="3">
        <v>6.03</v>
      </c>
      <c r="K86" s="3">
        <v>22.82</v>
      </c>
      <c r="L86" s="21">
        <v>15.79</v>
      </c>
      <c r="M86" s="3">
        <v>1.61</v>
      </c>
      <c r="N86" s="2" t="s">
        <v>16</v>
      </c>
      <c r="O86" s="4" t="s">
        <v>28</v>
      </c>
      <c r="P86" s="18" t="s">
        <v>18</v>
      </c>
      <c r="Q86" s="5">
        <f t="shared" si="3"/>
        <v>19.762</v>
      </c>
      <c r="R86" s="5">
        <f t="shared" si="4"/>
        <v>10.91</v>
      </c>
      <c r="S86" s="5">
        <f t="shared" si="4"/>
        <v>12.215</v>
      </c>
      <c r="T86" s="23">
        <f>('Investor-Inputs'!$G$19 * Q86) + ('Investor-Inputs'!$J$19 * R86) + ('Investor-Inputs'!$N$19 * S86)</f>
        <v>93.320999999999998</v>
      </c>
      <c r="U86" s="27">
        <f t="shared" si="5"/>
        <v>69</v>
      </c>
    </row>
    <row r="87" spans="3:21" x14ac:dyDescent="0.25">
      <c r="C87" s="2" t="s">
        <v>104</v>
      </c>
      <c r="D87" s="2">
        <v>5</v>
      </c>
      <c r="E87" s="2" t="s">
        <v>14</v>
      </c>
      <c r="F87" s="2" t="s">
        <v>95</v>
      </c>
      <c r="G87" s="3">
        <v>12.26</v>
      </c>
      <c r="H87" s="3">
        <v>8.8800000000000008</v>
      </c>
      <c r="I87" s="3">
        <v>25.44</v>
      </c>
      <c r="J87" s="3">
        <v>14.46</v>
      </c>
      <c r="K87" s="3">
        <v>22.24</v>
      </c>
      <c r="L87" s="21">
        <v>19.04</v>
      </c>
      <c r="M87" s="3">
        <v>1.92</v>
      </c>
      <c r="N87" s="2" t="s">
        <v>16</v>
      </c>
      <c r="O87" s="4" t="s">
        <v>28</v>
      </c>
      <c r="P87" s="18" t="s">
        <v>18</v>
      </c>
      <c r="Q87" s="5">
        <f t="shared" si="3"/>
        <v>21.295999999999999</v>
      </c>
      <c r="R87" s="5">
        <f t="shared" si="4"/>
        <v>16.75</v>
      </c>
      <c r="S87" s="5">
        <f t="shared" si="4"/>
        <v>12.079999999999998</v>
      </c>
      <c r="T87" s="23">
        <f>('Investor-Inputs'!$G$19 * Q87) + ('Investor-Inputs'!$J$19 * R87) + ('Investor-Inputs'!$N$19 * S87)</f>
        <v>109.468</v>
      </c>
      <c r="U87" s="27">
        <f t="shared" si="5"/>
        <v>31</v>
      </c>
    </row>
    <row r="88" spans="3:21" x14ac:dyDescent="0.25">
      <c r="C88" s="2" t="s">
        <v>105</v>
      </c>
      <c r="D88" s="2">
        <v>4</v>
      </c>
      <c r="E88" s="2" t="s">
        <v>14</v>
      </c>
      <c r="F88" s="2" t="s">
        <v>95</v>
      </c>
      <c r="G88" s="3">
        <v>11.3</v>
      </c>
      <c r="H88" s="3">
        <v>5.56</v>
      </c>
      <c r="I88" s="3">
        <v>24.15</v>
      </c>
      <c r="J88" s="3">
        <v>13.44</v>
      </c>
      <c r="K88" s="3">
        <v>19.86</v>
      </c>
      <c r="L88" s="21">
        <v>17.61</v>
      </c>
      <c r="M88" s="3">
        <v>2.25</v>
      </c>
      <c r="N88" s="2" t="s">
        <v>16</v>
      </c>
      <c r="O88" s="4" t="s">
        <v>17</v>
      </c>
      <c r="P88" s="18" t="s">
        <v>18</v>
      </c>
      <c r="Q88" s="5">
        <f t="shared" si="3"/>
        <v>19.59</v>
      </c>
      <c r="R88" s="5">
        <f t="shared" si="4"/>
        <v>15.524999999999999</v>
      </c>
      <c r="S88" s="5">
        <f t="shared" si="4"/>
        <v>11.055</v>
      </c>
      <c r="T88" s="23">
        <f>('Investor-Inputs'!$G$19 * Q88) + ('Investor-Inputs'!$J$19 * R88) + ('Investor-Inputs'!$N$19 * S88)</f>
        <v>100.875</v>
      </c>
      <c r="U88" s="27">
        <f t="shared" si="5"/>
        <v>49</v>
      </c>
    </row>
    <row r="89" spans="3:21" x14ac:dyDescent="0.25">
      <c r="C89" s="2" t="s">
        <v>106</v>
      </c>
      <c r="D89" s="2">
        <v>5</v>
      </c>
      <c r="E89" s="2" t="s">
        <v>14</v>
      </c>
      <c r="F89" s="2" t="s">
        <v>95</v>
      </c>
      <c r="G89" s="3">
        <v>15.16</v>
      </c>
      <c r="H89" s="3">
        <v>8.4499999999999993</v>
      </c>
      <c r="I89" s="3">
        <v>25.61</v>
      </c>
      <c r="J89" s="3">
        <v>15.18</v>
      </c>
      <c r="K89" s="2"/>
      <c r="L89" s="20"/>
      <c r="M89" s="3">
        <v>2.02</v>
      </c>
      <c r="N89" s="2" t="s">
        <v>16</v>
      </c>
      <c r="O89" s="4" t="s">
        <v>17</v>
      </c>
      <c r="P89" s="18" t="s">
        <v>18</v>
      </c>
      <c r="Q89" s="5">
        <f t="shared" si="3"/>
        <v>10.244</v>
      </c>
      <c r="R89" s="5">
        <f t="shared" si="4"/>
        <v>7.59</v>
      </c>
      <c r="S89" s="5">
        <f t="shared" si="4"/>
        <v>1.01</v>
      </c>
      <c r="T89" s="23">
        <f>('Investor-Inputs'!$G$19 * Q89) + ('Investor-Inputs'!$J$19 * R89) + ('Investor-Inputs'!$N$19 * S89)</f>
        <v>46.921999999999997</v>
      </c>
      <c r="U89" s="27">
        <f t="shared" si="5"/>
        <v>289</v>
      </c>
    </row>
    <row r="90" spans="3:21" x14ac:dyDescent="0.25">
      <c r="C90" s="2" t="s">
        <v>107</v>
      </c>
      <c r="D90" s="2">
        <v>4</v>
      </c>
      <c r="E90" s="2" t="s">
        <v>14</v>
      </c>
      <c r="F90" s="2" t="s">
        <v>108</v>
      </c>
      <c r="G90" s="3">
        <v>10.08</v>
      </c>
      <c r="H90" s="3">
        <v>7.41</v>
      </c>
      <c r="I90" s="3">
        <v>24.27</v>
      </c>
      <c r="J90" s="3">
        <v>10.89</v>
      </c>
      <c r="K90" s="2"/>
      <c r="L90" s="20"/>
      <c r="M90" s="3">
        <v>1.05</v>
      </c>
      <c r="N90" s="2" t="s">
        <v>16</v>
      </c>
      <c r="O90" s="4" t="s">
        <v>17</v>
      </c>
      <c r="P90" s="18" t="s">
        <v>18</v>
      </c>
      <c r="Q90" s="5">
        <f t="shared" si="3"/>
        <v>9.7080000000000002</v>
      </c>
      <c r="R90" s="5">
        <f t="shared" si="4"/>
        <v>5.4450000000000003</v>
      </c>
      <c r="S90" s="5">
        <f t="shared" si="4"/>
        <v>0.52500000000000002</v>
      </c>
      <c r="T90" s="23">
        <f>('Investor-Inputs'!$G$19 * Q90) + ('Investor-Inputs'!$J$19 * R90) + ('Investor-Inputs'!$N$19 * S90)</f>
        <v>40.539000000000001</v>
      </c>
      <c r="U90" s="27">
        <f t="shared" si="5"/>
        <v>321</v>
      </c>
    </row>
    <row r="91" spans="3:21" x14ac:dyDescent="0.25">
      <c r="C91" s="2" t="s">
        <v>109</v>
      </c>
      <c r="D91" s="2">
        <v>4</v>
      </c>
      <c r="E91" s="2" t="s">
        <v>14</v>
      </c>
      <c r="F91" s="2" t="s">
        <v>108</v>
      </c>
      <c r="G91" s="3">
        <v>8.4499999999999993</v>
      </c>
      <c r="H91" s="3">
        <v>4.16</v>
      </c>
      <c r="I91" s="3">
        <v>17.829999999999998</v>
      </c>
      <c r="J91" s="3">
        <v>8.85</v>
      </c>
      <c r="K91" s="3">
        <v>18.11</v>
      </c>
      <c r="L91" s="21">
        <v>13.47</v>
      </c>
      <c r="M91" s="3">
        <v>1.74</v>
      </c>
      <c r="N91" s="2" t="s">
        <v>16</v>
      </c>
      <c r="O91" s="4" t="s">
        <v>110</v>
      </c>
      <c r="P91" s="18" t="s">
        <v>18</v>
      </c>
      <c r="Q91" s="5">
        <f t="shared" si="3"/>
        <v>16.186999999999998</v>
      </c>
      <c r="R91" s="5">
        <f t="shared" si="4"/>
        <v>11.16</v>
      </c>
      <c r="S91" s="5">
        <f t="shared" si="4"/>
        <v>9.9249999999999989</v>
      </c>
      <c r="T91" s="23">
        <f>('Investor-Inputs'!$G$19 * Q91) + ('Investor-Inputs'!$J$19 * R91) + ('Investor-Inputs'!$N$19 * S91)</f>
        <v>80.805999999999997</v>
      </c>
      <c r="U91" s="27">
        <f t="shared" si="5"/>
        <v>128</v>
      </c>
    </row>
    <row r="92" spans="3:21" x14ac:dyDescent="0.25">
      <c r="C92" s="2" t="s">
        <v>111</v>
      </c>
      <c r="D92" s="2">
        <v>5</v>
      </c>
      <c r="E92" s="2" t="s">
        <v>14</v>
      </c>
      <c r="F92" s="2" t="s">
        <v>108</v>
      </c>
      <c r="G92" s="3">
        <v>13.73</v>
      </c>
      <c r="H92" s="3">
        <v>8.68</v>
      </c>
      <c r="I92" s="3">
        <v>30.4</v>
      </c>
      <c r="J92" s="3">
        <v>16.61</v>
      </c>
      <c r="K92" s="3">
        <v>22.81</v>
      </c>
      <c r="L92" s="21">
        <v>20.73</v>
      </c>
      <c r="M92" s="3">
        <v>1.98</v>
      </c>
      <c r="N92" s="2" t="s">
        <v>16</v>
      </c>
      <c r="O92" s="4" t="s">
        <v>28</v>
      </c>
      <c r="P92" s="18" t="s">
        <v>18</v>
      </c>
      <c r="Q92" s="5">
        <f t="shared" si="3"/>
        <v>23.564999999999998</v>
      </c>
      <c r="R92" s="5">
        <f t="shared" si="4"/>
        <v>18.670000000000002</v>
      </c>
      <c r="S92" s="5">
        <f t="shared" si="4"/>
        <v>12.395</v>
      </c>
      <c r="T92" s="23">
        <f>('Investor-Inputs'!$G$19 * Q92) + ('Investor-Inputs'!$J$19 * R92) + ('Investor-Inputs'!$N$19 * S92)</f>
        <v>120.42999999999999</v>
      </c>
      <c r="U92" s="27">
        <f t="shared" si="5"/>
        <v>13</v>
      </c>
    </row>
    <row r="93" spans="3:21" x14ac:dyDescent="0.25">
      <c r="C93" s="2" t="s">
        <v>112</v>
      </c>
      <c r="D93" s="2">
        <v>4</v>
      </c>
      <c r="E93" s="2" t="s">
        <v>14</v>
      </c>
      <c r="F93" s="2" t="s">
        <v>108</v>
      </c>
      <c r="G93" s="3">
        <v>9.75</v>
      </c>
      <c r="H93" s="3">
        <v>4.1500000000000004</v>
      </c>
      <c r="I93" s="3">
        <v>19.04</v>
      </c>
      <c r="J93" s="3">
        <v>8.69</v>
      </c>
      <c r="K93" s="3">
        <v>19.37</v>
      </c>
      <c r="L93" s="21">
        <v>14.24</v>
      </c>
      <c r="M93" s="3">
        <v>2.13</v>
      </c>
      <c r="N93" s="2" t="s">
        <v>16</v>
      </c>
      <c r="O93" s="4" t="s">
        <v>24</v>
      </c>
      <c r="P93" s="18" t="s">
        <v>18</v>
      </c>
      <c r="Q93" s="5">
        <f t="shared" si="3"/>
        <v>17.301000000000002</v>
      </c>
      <c r="R93" s="5">
        <f t="shared" si="4"/>
        <v>11.465</v>
      </c>
      <c r="S93" s="5">
        <f t="shared" si="4"/>
        <v>10.75</v>
      </c>
      <c r="T93" s="23">
        <f>('Investor-Inputs'!$G$19 * Q93) + ('Investor-Inputs'!$J$19 * R93) + ('Investor-Inputs'!$N$19 * S93)</f>
        <v>85.582999999999998</v>
      </c>
      <c r="U93" s="27">
        <f t="shared" si="5"/>
        <v>108</v>
      </c>
    </row>
    <row r="94" spans="3:21" x14ac:dyDescent="0.25">
      <c r="C94" s="2" t="s">
        <v>113</v>
      </c>
      <c r="D94" s="2">
        <v>4</v>
      </c>
      <c r="E94" s="2" t="s">
        <v>14</v>
      </c>
      <c r="F94" s="2" t="s">
        <v>108</v>
      </c>
      <c r="G94" s="3">
        <v>7.06</v>
      </c>
      <c r="H94" s="3">
        <v>-5.28</v>
      </c>
      <c r="I94" s="3">
        <v>16.39</v>
      </c>
      <c r="J94" s="3">
        <v>4.8600000000000003</v>
      </c>
      <c r="K94" s="3">
        <v>19.079999999999998</v>
      </c>
      <c r="L94" s="21">
        <v>12.77</v>
      </c>
      <c r="M94" s="3">
        <v>1.62</v>
      </c>
      <c r="N94" s="2" t="s">
        <v>16</v>
      </c>
      <c r="O94" s="4" t="s">
        <v>17</v>
      </c>
      <c r="P94" s="18" t="s">
        <v>18</v>
      </c>
      <c r="Q94" s="5">
        <f t="shared" si="3"/>
        <v>16.096</v>
      </c>
      <c r="R94" s="5">
        <f t="shared" si="4"/>
        <v>8.8149999999999995</v>
      </c>
      <c r="S94" s="5">
        <f t="shared" si="4"/>
        <v>10.35</v>
      </c>
      <c r="T94" s="23">
        <f>('Investor-Inputs'!$G$19 * Q94) + ('Investor-Inputs'!$J$19 * R94) + ('Investor-Inputs'!$N$19 * S94)</f>
        <v>76.267999999999986</v>
      </c>
      <c r="U94" s="27">
        <f t="shared" si="5"/>
        <v>150</v>
      </c>
    </row>
    <row r="95" spans="3:21" x14ac:dyDescent="0.25">
      <c r="C95" s="2" t="s">
        <v>114</v>
      </c>
      <c r="D95" s="2">
        <v>5</v>
      </c>
      <c r="E95" s="2" t="s">
        <v>14</v>
      </c>
      <c r="F95" s="2" t="s">
        <v>108</v>
      </c>
      <c r="G95" s="3">
        <v>11.15</v>
      </c>
      <c r="H95" s="3">
        <v>5.39</v>
      </c>
      <c r="I95" s="3">
        <v>24.12</v>
      </c>
      <c r="J95" s="3">
        <v>12.68</v>
      </c>
      <c r="K95" s="3">
        <v>21.78</v>
      </c>
      <c r="L95" s="21">
        <v>17.54</v>
      </c>
      <c r="M95" s="3">
        <v>1.93</v>
      </c>
      <c r="N95" s="2" t="s">
        <v>16</v>
      </c>
      <c r="O95" s="4" t="s">
        <v>28</v>
      </c>
      <c r="P95" s="18" t="s">
        <v>18</v>
      </c>
      <c r="Q95" s="5">
        <f t="shared" si="3"/>
        <v>20.538000000000004</v>
      </c>
      <c r="R95" s="5">
        <f t="shared" si="4"/>
        <v>15.11</v>
      </c>
      <c r="S95" s="5">
        <f t="shared" si="4"/>
        <v>11.855</v>
      </c>
      <c r="T95" s="23">
        <f>('Investor-Inputs'!$G$19 * Q95) + ('Investor-Inputs'!$J$19 * R95) + ('Investor-Inputs'!$N$19 * S95)</f>
        <v>103.68900000000001</v>
      </c>
      <c r="U95" s="27">
        <f t="shared" si="5"/>
        <v>41</v>
      </c>
    </row>
    <row r="96" spans="3:21" x14ac:dyDescent="0.25">
      <c r="C96" s="2" t="s">
        <v>115</v>
      </c>
      <c r="D96" s="2">
        <v>4</v>
      </c>
      <c r="E96" s="2" t="s">
        <v>14</v>
      </c>
      <c r="F96" s="2" t="s">
        <v>108</v>
      </c>
      <c r="G96" s="3">
        <v>12.21</v>
      </c>
      <c r="H96" s="3">
        <v>10.35</v>
      </c>
      <c r="I96" s="3">
        <v>25.17</v>
      </c>
      <c r="J96" s="3">
        <v>13.49</v>
      </c>
      <c r="K96" s="3">
        <v>17.59</v>
      </c>
      <c r="L96" s="21">
        <v>17.59</v>
      </c>
      <c r="M96" s="3">
        <v>1.95</v>
      </c>
      <c r="N96" s="2" t="s">
        <v>16</v>
      </c>
      <c r="O96" s="4" t="s">
        <v>17</v>
      </c>
      <c r="P96" s="18" t="s">
        <v>18</v>
      </c>
      <c r="Q96" s="5">
        <f t="shared" si="3"/>
        <v>18.863</v>
      </c>
      <c r="R96" s="5">
        <f t="shared" si="4"/>
        <v>15.54</v>
      </c>
      <c r="S96" s="5">
        <f t="shared" si="4"/>
        <v>9.77</v>
      </c>
      <c r="T96" s="23">
        <f>('Investor-Inputs'!$G$19 * Q96) + ('Investor-Inputs'!$J$19 * R96) + ('Investor-Inputs'!$N$19 * S96)</f>
        <v>97.438999999999993</v>
      </c>
      <c r="U96" s="27">
        <f t="shared" si="5"/>
        <v>55</v>
      </c>
    </row>
    <row r="97" spans="3:21" x14ac:dyDescent="0.25">
      <c r="C97" s="2" t="s">
        <v>116</v>
      </c>
      <c r="D97" s="2">
        <v>4</v>
      </c>
      <c r="E97" s="2" t="s">
        <v>14</v>
      </c>
      <c r="F97" s="2" t="s">
        <v>108</v>
      </c>
      <c r="G97" s="3">
        <v>9.85</v>
      </c>
      <c r="H97" s="3">
        <v>7.03</v>
      </c>
      <c r="I97" s="3">
        <v>24.28</v>
      </c>
      <c r="J97" s="3">
        <v>10.96</v>
      </c>
      <c r="K97" s="2"/>
      <c r="L97" s="20"/>
      <c r="M97" s="3">
        <v>1.52</v>
      </c>
      <c r="N97" s="2" t="s">
        <v>16</v>
      </c>
      <c r="O97" s="4" t="s">
        <v>17</v>
      </c>
      <c r="P97" s="18" t="s">
        <v>18</v>
      </c>
      <c r="Q97" s="5">
        <f t="shared" si="3"/>
        <v>9.7120000000000015</v>
      </c>
      <c r="R97" s="5">
        <f t="shared" si="4"/>
        <v>5.48</v>
      </c>
      <c r="S97" s="5">
        <f t="shared" si="4"/>
        <v>0.76</v>
      </c>
      <c r="T97" s="23">
        <f>('Investor-Inputs'!$G$19 * Q97) + ('Investor-Inputs'!$J$19 * R97) + ('Investor-Inputs'!$N$19 * S97)</f>
        <v>40.856000000000002</v>
      </c>
      <c r="U97" s="27">
        <f t="shared" si="5"/>
        <v>315</v>
      </c>
    </row>
    <row r="98" spans="3:21" x14ac:dyDescent="0.25">
      <c r="C98" s="2" t="s">
        <v>117</v>
      </c>
      <c r="D98" s="2">
        <v>4</v>
      </c>
      <c r="E98" s="2" t="s">
        <v>14</v>
      </c>
      <c r="F98" s="2" t="s">
        <v>108</v>
      </c>
      <c r="G98" s="3">
        <v>13.69</v>
      </c>
      <c r="H98" s="3">
        <v>10.210000000000001</v>
      </c>
      <c r="I98" s="3">
        <v>24.06</v>
      </c>
      <c r="J98" s="3">
        <v>11.35</v>
      </c>
      <c r="K98" s="2"/>
      <c r="L98" s="20"/>
      <c r="M98" s="3">
        <v>2.96</v>
      </c>
      <c r="N98" s="2" t="s">
        <v>16</v>
      </c>
      <c r="O98" s="4" t="s">
        <v>17</v>
      </c>
      <c r="P98" s="18" t="s">
        <v>18</v>
      </c>
      <c r="Q98" s="5">
        <f t="shared" si="3"/>
        <v>9.6240000000000006</v>
      </c>
      <c r="R98" s="5">
        <f t="shared" si="4"/>
        <v>5.6749999999999998</v>
      </c>
      <c r="S98" s="5">
        <f t="shared" si="4"/>
        <v>1.48</v>
      </c>
      <c r="T98" s="23">
        <f>('Investor-Inputs'!$G$19 * Q98) + ('Investor-Inputs'!$J$19 * R98) + ('Investor-Inputs'!$N$19 * S98)</f>
        <v>41.701999999999998</v>
      </c>
      <c r="U98" s="27">
        <f t="shared" si="5"/>
        <v>309</v>
      </c>
    </row>
    <row r="99" spans="3:21" x14ac:dyDescent="0.25">
      <c r="C99" s="2" t="s">
        <v>118</v>
      </c>
      <c r="D99" s="2">
        <v>4</v>
      </c>
      <c r="E99" s="2" t="s">
        <v>14</v>
      </c>
      <c r="F99" s="2" t="s">
        <v>108</v>
      </c>
      <c r="G99" s="3">
        <v>10.36</v>
      </c>
      <c r="H99" s="3">
        <v>7.52</v>
      </c>
      <c r="I99" s="3">
        <v>21.1</v>
      </c>
      <c r="J99" s="3">
        <v>9.5500000000000007</v>
      </c>
      <c r="K99" s="3">
        <v>22.34</v>
      </c>
      <c r="L99" s="21">
        <v>16.63</v>
      </c>
      <c r="M99" s="3">
        <v>1.5</v>
      </c>
      <c r="N99" s="2" t="s">
        <v>16</v>
      </c>
      <c r="O99" s="4" t="s">
        <v>17</v>
      </c>
      <c r="P99" s="18" t="s">
        <v>18</v>
      </c>
      <c r="Q99" s="5">
        <f t="shared" si="3"/>
        <v>19.61</v>
      </c>
      <c r="R99" s="5">
        <f t="shared" si="4"/>
        <v>13.09</v>
      </c>
      <c r="S99" s="5">
        <f t="shared" si="4"/>
        <v>11.92</v>
      </c>
      <c r="T99" s="23">
        <f>('Investor-Inputs'!$G$19 * Q99) + ('Investor-Inputs'!$J$19 * R99) + ('Investor-Inputs'!$N$19 * S99)</f>
        <v>96.929999999999993</v>
      </c>
      <c r="U99" s="27">
        <f t="shared" si="5"/>
        <v>57</v>
      </c>
    </row>
    <row r="100" spans="3:21" x14ac:dyDescent="0.25">
      <c r="C100" s="2" t="s">
        <v>119</v>
      </c>
      <c r="D100" s="2">
        <v>4</v>
      </c>
      <c r="E100" s="2" t="s">
        <v>14</v>
      </c>
      <c r="F100" s="2" t="s">
        <v>108</v>
      </c>
      <c r="G100" s="3">
        <v>8.43</v>
      </c>
      <c r="H100" s="3">
        <v>7.23</v>
      </c>
      <c r="I100" s="3">
        <v>20.13</v>
      </c>
      <c r="J100" s="3">
        <v>8.4600000000000009</v>
      </c>
      <c r="K100" s="3">
        <v>21.82</v>
      </c>
      <c r="L100" s="21">
        <v>15.83</v>
      </c>
      <c r="M100" s="3">
        <v>2.02</v>
      </c>
      <c r="N100" s="2" t="s">
        <v>16</v>
      </c>
      <c r="O100" s="4" t="s">
        <v>28</v>
      </c>
      <c r="P100" s="18" t="s">
        <v>18</v>
      </c>
      <c r="Q100" s="5">
        <f t="shared" si="3"/>
        <v>18.962</v>
      </c>
      <c r="R100" s="5">
        <f t="shared" si="4"/>
        <v>12.145</v>
      </c>
      <c r="S100" s="5">
        <f t="shared" si="4"/>
        <v>11.92</v>
      </c>
      <c r="T100" s="23">
        <f>('Investor-Inputs'!$G$19 * Q100) + ('Investor-Inputs'!$J$19 * R100) + ('Investor-Inputs'!$N$19 * S100)</f>
        <v>93.095999999999989</v>
      </c>
      <c r="U100" s="27">
        <f t="shared" si="5"/>
        <v>73</v>
      </c>
    </row>
    <row r="101" spans="3:21" x14ac:dyDescent="0.25">
      <c r="C101" s="2" t="s">
        <v>120</v>
      </c>
      <c r="D101" s="2">
        <v>4</v>
      </c>
      <c r="E101" s="2" t="s">
        <v>14</v>
      </c>
      <c r="F101" s="2" t="s">
        <v>108</v>
      </c>
      <c r="G101" s="3">
        <v>15.74</v>
      </c>
      <c r="H101" s="3">
        <v>12.23</v>
      </c>
      <c r="I101" s="3">
        <v>20.48</v>
      </c>
      <c r="J101" s="3">
        <v>11.42</v>
      </c>
      <c r="K101" s="3">
        <v>19.420000000000002</v>
      </c>
      <c r="L101" s="21">
        <v>15.46</v>
      </c>
      <c r="M101" s="3">
        <v>1.91</v>
      </c>
      <c r="N101" s="2" t="s">
        <v>16</v>
      </c>
      <c r="O101" s="4" t="s">
        <v>24</v>
      </c>
      <c r="P101" s="18" t="s">
        <v>18</v>
      </c>
      <c r="Q101" s="5">
        <f t="shared" si="3"/>
        <v>17.902000000000001</v>
      </c>
      <c r="R101" s="5">
        <f t="shared" si="4"/>
        <v>13.440000000000001</v>
      </c>
      <c r="S101" s="5">
        <f t="shared" si="4"/>
        <v>10.665000000000001</v>
      </c>
      <c r="T101" s="23">
        <f>('Investor-Inputs'!$G$19 * Q101) + ('Investor-Inputs'!$J$19 * R101) + ('Investor-Inputs'!$N$19 * S101)</f>
        <v>91.251000000000019</v>
      </c>
      <c r="U101" s="27">
        <f t="shared" si="5"/>
        <v>77</v>
      </c>
    </row>
    <row r="102" spans="3:21" x14ac:dyDescent="0.25">
      <c r="C102" s="2" t="s">
        <v>121</v>
      </c>
      <c r="D102" s="2">
        <v>4</v>
      </c>
      <c r="E102" s="2" t="s">
        <v>14</v>
      </c>
      <c r="F102" s="2" t="s">
        <v>122</v>
      </c>
      <c r="G102" s="3">
        <v>7.95</v>
      </c>
      <c r="H102" s="3">
        <v>2.57</v>
      </c>
      <c r="I102" s="3">
        <v>20.8</v>
      </c>
      <c r="J102" s="3">
        <v>10.98</v>
      </c>
      <c r="K102" s="2"/>
      <c r="L102" s="20"/>
      <c r="M102" s="3">
        <v>2.5499999999999998</v>
      </c>
      <c r="N102" s="2" t="s">
        <v>16</v>
      </c>
      <c r="O102" s="4" t="s">
        <v>17</v>
      </c>
      <c r="P102" s="18" t="s">
        <v>18</v>
      </c>
      <c r="Q102" s="5">
        <f t="shared" si="3"/>
        <v>8.32</v>
      </c>
      <c r="R102" s="5">
        <f t="shared" si="4"/>
        <v>5.49</v>
      </c>
      <c r="S102" s="5">
        <f t="shared" si="4"/>
        <v>1.2749999999999999</v>
      </c>
      <c r="T102" s="23">
        <f>('Investor-Inputs'!$G$19 * Q102) + ('Investor-Inputs'!$J$19 * R102) + ('Investor-Inputs'!$N$19 * S102)</f>
        <v>37.214999999999996</v>
      </c>
      <c r="U102" s="27">
        <f t="shared" si="5"/>
        <v>339</v>
      </c>
    </row>
    <row r="103" spans="3:21" x14ac:dyDescent="0.25">
      <c r="C103" s="2" t="s">
        <v>123</v>
      </c>
      <c r="D103" s="2">
        <v>4</v>
      </c>
      <c r="E103" s="2" t="s">
        <v>14</v>
      </c>
      <c r="F103" s="2" t="s">
        <v>122</v>
      </c>
      <c r="G103" s="3">
        <v>1.38</v>
      </c>
      <c r="H103" s="3">
        <v>-2.0099999999999998</v>
      </c>
      <c r="I103" s="3">
        <v>15.19</v>
      </c>
      <c r="J103" s="3">
        <v>5.58</v>
      </c>
      <c r="K103" s="3">
        <v>16.440000000000001</v>
      </c>
      <c r="L103" s="21">
        <v>11.3</v>
      </c>
      <c r="M103" s="3">
        <v>2.1</v>
      </c>
      <c r="N103" s="2" t="s">
        <v>16</v>
      </c>
      <c r="O103" s="4" t="s">
        <v>24</v>
      </c>
      <c r="P103" s="18" t="s">
        <v>18</v>
      </c>
      <c r="Q103" s="5">
        <f t="shared" si="3"/>
        <v>14.296000000000001</v>
      </c>
      <c r="R103" s="5">
        <f t="shared" si="4"/>
        <v>8.4400000000000013</v>
      </c>
      <c r="S103" s="5">
        <f t="shared" si="4"/>
        <v>9.2700000000000014</v>
      </c>
      <c r="T103" s="23">
        <f>('Investor-Inputs'!$G$19 * Q103) + ('Investor-Inputs'!$J$19 * R103) + ('Investor-Inputs'!$N$19 * S103)</f>
        <v>69.038000000000011</v>
      </c>
      <c r="U103" s="27">
        <f t="shared" si="5"/>
        <v>194</v>
      </c>
    </row>
    <row r="104" spans="3:21" x14ac:dyDescent="0.25">
      <c r="C104" s="2" t="s">
        <v>124</v>
      </c>
      <c r="D104" s="2">
        <v>5</v>
      </c>
      <c r="E104" s="2" t="s">
        <v>14</v>
      </c>
      <c r="F104" s="2" t="s">
        <v>122</v>
      </c>
      <c r="G104" s="3">
        <v>15.03</v>
      </c>
      <c r="H104" s="3">
        <v>10.36</v>
      </c>
      <c r="I104" s="3">
        <v>19.21</v>
      </c>
      <c r="J104" s="3">
        <v>13.9</v>
      </c>
      <c r="K104" s="3">
        <v>15.01</v>
      </c>
      <c r="L104" s="21">
        <v>15.12</v>
      </c>
      <c r="M104" s="3">
        <v>1.94</v>
      </c>
      <c r="N104" s="2" t="s">
        <v>16</v>
      </c>
      <c r="O104" s="4" t="s">
        <v>24</v>
      </c>
      <c r="P104" s="18" t="s">
        <v>18</v>
      </c>
      <c r="Q104" s="5">
        <f t="shared" si="3"/>
        <v>15.189</v>
      </c>
      <c r="R104" s="5">
        <f t="shared" si="4"/>
        <v>14.51</v>
      </c>
      <c r="S104" s="5">
        <f t="shared" si="4"/>
        <v>8.4749999999999996</v>
      </c>
      <c r="T104" s="23">
        <f>('Investor-Inputs'!$G$19 * Q104) + ('Investor-Inputs'!$J$19 * R104) + ('Investor-Inputs'!$N$19 * S104)</f>
        <v>83.061999999999998</v>
      </c>
      <c r="U104" s="27">
        <f t="shared" si="5"/>
        <v>116</v>
      </c>
    </row>
    <row r="105" spans="3:21" x14ac:dyDescent="0.25">
      <c r="C105" s="2" t="s">
        <v>125</v>
      </c>
      <c r="D105" s="2">
        <v>4</v>
      </c>
      <c r="E105" s="2" t="s">
        <v>14</v>
      </c>
      <c r="F105" s="2" t="s">
        <v>122</v>
      </c>
      <c r="G105" s="3">
        <v>10.09</v>
      </c>
      <c r="H105" s="3">
        <v>4.37</v>
      </c>
      <c r="I105" s="3">
        <v>21.67</v>
      </c>
      <c r="J105" s="3">
        <v>11.81</v>
      </c>
      <c r="K105" s="3">
        <v>19.47</v>
      </c>
      <c r="L105" s="21">
        <v>16.66</v>
      </c>
      <c r="M105" s="3">
        <v>1.71</v>
      </c>
      <c r="N105" s="2" t="s">
        <v>16</v>
      </c>
      <c r="O105" s="4" t="s">
        <v>28</v>
      </c>
      <c r="P105" s="18" t="s">
        <v>18</v>
      </c>
      <c r="Q105" s="5">
        <f t="shared" si="3"/>
        <v>18.402999999999999</v>
      </c>
      <c r="R105" s="5">
        <f t="shared" si="4"/>
        <v>14.234999999999999</v>
      </c>
      <c r="S105" s="5">
        <f t="shared" si="4"/>
        <v>10.59</v>
      </c>
      <c r="T105" s="23">
        <f>('Investor-Inputs'!$G$19 * Q105) + ('Investor-Inputs'!$J$19 * R105) + ('Investor-Inputs'!$N$19 * S105)</f>
        <v>94.269000000000005</v>
      </c>
      <c r="U105" s="27">
        <f t="shared" si="5"/>
        <v>59</v>
      </c>
    </row>
    <row r="106" spans="3:21" x14ac:dyDescent="0.25">
      <c r="C106" s="2" t="s">
        <v>126</v>
      </c>
      <c r="D106" s="2">
        <v>5</v>
      </c>
      <c r="E106" s="2" t="s">
        <v>14</v>
      </c>
      <c r="F106" s="2" t="s">
        <v>122</v>
      </c>
      <c r="G106" s="3">
        <v>2.1</v>
      </c>
      <c r="H106" s="3">
        <v>-4.21</v>
      </c>
      <c r="I106" s="3">
        <v>17.739999999999998</v>
      </c>
      <c r="J106" s="3">
        <v>8.6999999999999993</v>
      </c>
      <c r="K106" s="3">
        <v>18.510000000000002</v>
      </c>
      <c r="L106" s="21">
        <v>14.3</v>
      </c>
      <c r="M106" s="3">
        <v>2.99</v>
      </c>
      <c r="N106" s="2" t="s">
        <v>16</v>
      </c>
      <c r="O106" s="4" t="s">
        <v>17</v>
      </c>
      <c r="P106" s="18" t="s">
        <v>18</v>
      </c>
      <c r="Q106" s="5">
        <f t="shared" si="3"/>
        <v>16.350999999999999</v>
      </c>
      <c r="R106" s="5">
        <f t="shared" si="4"/>
        <v>11.5</v>
      </c>
      <c r="S106" s="5">
        <f t="shared" si="4"/>
        <v>10.75</v>
      </c>
      <c r="T106" s="23">
        <f>('Investor-Inputs'!$G$19 * Q106) + ('Investor-Inputs'!$J$19 * R106) + ('Investor-Inputs'!$N$19 * S106)</f>
        <v>82.802999999999997</v>
      </c>
      <c r="U106" s="27">
        <f t="shared" si="5"/>
        <v>120</v>
      </c>
    </row>
    <row r="107" spans="3:21" x14ac:dyDescent="0.25">
      <c r="C107" s="2" t="s">
        <v>127</v>
      </c>
      <c r="D107" s="2">
        <v>4</v>
      </c>
      <c r="E107" s="2" t="s">
        <v>14</v>
      </c>
      <c r="F107" s="2" t="s">
        <v>122</v>
      </c>
      <c r="G107" s="3">
        <v>5.61</v>
      </c>
      <c r="H107" s="3">
        <v>-1.69</v>
      </c>
      <c r="I107" s="3">
        <v>18.43</v>
      </c>
      <c r="J107" s="3">
        <v>8.5399999999999991</v>
      </c>
      <c r="K107" s="3">
        <v>16.43</v>
      </c>
      <c r="L107" s="21">
        <v>13.63</v>
      </c>
      <c r="M107" s="3">
        <v>2.6</v>
      </c>
      <c r="N107" s="2" t="s">
        <v>16</v>
      </c>
      <c r="O107" s="4" t="s">
        <v>24</v>
      </c>
      <c r="P107" s="18" t="s">
        <v>18</v>
      </c>
      <c r="Q107" s="5">
        <f t="shared" si="3"/>
        <v>15.587</v>
      </c>
      <c r="R107" s="5">
        <f t="shared" si="4"/>
        <v>11.085000000000001</v>
      </c>
      <c r="S107" s="5">
        <f t="shared" si="4"/>
        <v>9.5150000000000006</v>
      </c>
      <c r="T107" s="23">
        <f>('Investor-Inputs'!$G$19 * Q107) + ('Investor-Inputs'!$J$19 * R107) + ('Investor-Inputs'!$N$19 * S107)</f>
        <v>78.445999999999998</v>
      </c>
      <c r="U107" s="27">
        <f t="shared" si="5"/>
        <v>138</v>
      </c>
    </row>
    <row r="108" spans="3:21" x14ac:dyDescent="0.25">
      <c r="C108" s="2" t="s">
        <v>128</v>
      </c>
      <c r="D108" s="2">
        <v>5</v>
      </c>
      <c r="E108" s="2" t="s">
        <v>14</v>
      </c>
      <c r="F108" s="2" t="s">
        <v>122</v>
      </c>
      <c r="G108" s="3">
        <v>18.63</v>
      </c>
      <c r="H108" s="3">
        <v>14.41</v>
      </c>
      <c r="I108" s="3">
        <v>30.67</v>
      </c>
      <c r="J108" s="3">
        <v>18.850000000000001</v>
      </c>
      <c r="K108" s="2"/>
      <c r="L108" s="20"/>
      <c r="M108" s="3">
        <v>1.3</v>
      </c>
      <c r="N108" s="2" t="s">
        <v>16</v>
      </c>
      <c r="O108" s="4" t="s">
        <v>28</v>
      </c>
      <c r="P108" s="18" t="s">
        <v>18</v>
      </c>
      <c r="Q108" s="5">
        <f t="shared" si="3"/>
        <v>12.268000000000001</v>
      </c>
      <c r="R108" s="5">
        <f t="shared" si="4"/>
        <v>9.4250000000000007</v>
      </c>
      <c r="S108" s="5">
        <f t="shared" si="4"/>
        <v>0.65</v>
      </c>
      <c r="T108" s="23">
        <f>('Investor-Inputs'!$G$19 * Q108) + ('Investor-Inputs'!$J$19 * R108) + ('Investor-Inputs'!$N$19 * S108)</f>
        <v>56.304000000000002</v>
      </c>
      <c r="U108" s="27">
        <f t="shared" si="5"/>
        <v>254</v>
      </c>
    </row>
    <row r="109" spans="3:21" x14ac:dyDescent="0.25">
      <c r="C109" s="2" t="s">
        <v>129</v>
      </c>
      <c r="D109" s="2">
        <v>4</v>
      </c>
      <c r="E109" s="2" t="s">
        <v>14</v>
      </c>
      <c r="F109" s="2" t="s">
        <v>122</v>
      </c>
      <c r="G109" s="3">
        <v>3.74</v>
      </c>
      <c r="H109" s="3">
        <v>-0.32</v>
      </c>
      <c r="I109" s="3">
        <v>20.81</v>
      </c>
      <c r="J109" s="3">
        <v>9.3000000000000007</v>
      </c>
      <c r="K109" s="3">
        <v>18.079999999999998</v>
      </c>
      <c r="L109" s="21">
        <v>14.56</v>
      </c>
      <c r="M109" s="3">
        <v>2.3199999999999998</v>
      </c>
      <c r="N109" s="2" t="s">
        <v>16</v>
      </c>
      <c r="O109" s="4" t="s">
        <v>28</v>
      </c>
      <c r="P109" s="18" t="s">
        <v>18</v>
      </c>
      <c r="Q109" s="5">
        <f t="shared" si="3"/>
        <v>17.363999999999997</v>
      </c>
      <c r="R109" s="5">
        <f t="shared" si="4"/>
        <v>11.93</v>
      </c>
      <c r="S109" s="5">
        <f t="shared" si="4"/>
        <v>10.199999999999999</v>
      </c>
      <c r="T109" s="23">
        <f>('Investor-Inputs'!$G$19 * Q109) + ('Investor-Inputs'!$J$19 * R109) + ('Investor-Inputs'!$N$19 * S109)</f>
        <v>86.152000000000001</v>
      </c>
      <c r="U109" s="27">
        <f t="shared" si="5"/>
        <v>104</v>
      </c>
    </row>
    <row r="110" spans="3:21" x14ac:dyDescent="0.25">
      <c r="C110" s="2" t="s">
        <v>130</v>
      </c>
      <c r="D110" s="2">
        <v>5</v>
      </c>
      <c r="E110" s="2" t="s">
        <v>14</v>
      </c>
      <c r="F110" s="2" t="s">
        <v>122</v>
      </c>
      <c r="G110" s="3">
        <v>0.88</v>
      </c>
      <c r="H110" s="3">
        <v>-4.16</v>
      </c>
      <c r="I110" s="3">
        <v>16.399999999999999</v>
      </c>
      <c r="J110" s="3">
        <v>6.07</v>
      </c>
      <c r="K110" s="3">
        <v>19.22</v>
      </c>
      <c r="L110" s="21">
        <v>13.41</v>
      </c>
      <c r="M110" s="3">
        <v>1.48</v>
      </c>
      <c r="N110" s="2" t="s">
        <v>16</v>
      </c>
      <c r="O110" s="4" t="s">
        <v>17</v>
      </c>
      <c r="P110" s="18" t="s">
        <v>18</v>
      </c>
      <c r="Q110" s="5">
        <f t="shared" si="3"/>
        <v>16.169999999999998</v>
      </c>
      <c r="R110" s="5">
        <f t="shared" si="4"/>
        <v>9.74</v>
      </c>
      <c r="S110" s="5">
        <f t="shared" si="4"/>
        <v>10.35</v>
      </c>
      <c r="T110" s="23">
        <f>('Investor-Inputs'!$G$19 * Q110) + ('Investor-Inputs'!$J$19 * R110) + ('Investor-Inputs'!$N$19 * S110)</f>
        <v>78.339999999999989</v>
      </c>
      <c r="U110" s="27">
        <f t="shared" si="5"/>
        <v>140</v>
      </c>
    </row>
    <row r="111" spans="3:21" x14ac:dyDescent="0.25">
      <c r="C111" s="2" t="s">
        <v>131</v>
      </c>
      <c r="D111" s="2">
        <v>4</v>
      </c>
      <c r="E111" s="2" t="s">
        <v>14</v>
      </c>
      <c r="F111" s="2" t="s">
        <v>132</v>
      </c>
      <c r="G111" s="3">
        <v>3.14</v>
      </c>
      <c r="H111" s="3">
        <v>-0.96</v>
      </c>
      <c r="I111" s="3">
        <v>13.9</v>
      </c>
      <c r="J111" s="3">
        <v>5.6</v>
      </c>
      <c r="K111" s="3">
        <v>14.19</v>
      </c>
      <c r="L111" s="21">
        <v>10.15</v>
      </c>
      <c r="M111" s="3">
        <v>2.12</v>
      </c>
      <c r="N111" s="2" t="s">
        <v>16</v>
      </c>
      <c r="O111" s="4" t="s">
        <v>24</v>
      </c>
      <c r="P111" s="18" t="s">
        <v>18</v>
      </c>
      <c r="Q111" s="5">
        <f t="shared" si="3"/>
        <v>12.655000000000001</v>
      </c>
      <c r="R111" s="5">
        <f t="shared" si="4"/>
        <v>7.875</v>
      </c>
      <c r="S111" s="5">
        <f t="shared" si="4"/>
        <v>8.1549999999999994</v>
      </c>
      <c r="T111" s="23">
        <f>('Investor-Inputs'!$G$19 * Q111) + ('Investor-Inputs'!$J$19 * R111) + ('Investor-Inputs'!$N$19 * S111)</f>
        <v>61.870000000000005</v>
      </c>
      <c r="U111" s="27">
        <f t="shared" si="5"/>
        <v>228</v>
      </c>
    </row>
    <row r="112" spans="3:21" x14ac:dyDescent="0.25">
      <c r="C112" s="2" t="s">
        <v>133</v>
      </c>
      <c r="D112" s="2">
        <v>4</v>
      </c>
      <c r="E112" s="2" t="s">
        <v>14</v>
      </c>
      <c r="F112" s="2" t="s">
        <v>132</v>
      </c>
      <c r="G112" s="3">
        <v>6.36</v>
      </c>
      <c r="H112" s="3">
        <v>2.29</v>
      </c>
      <c r="I112" s="3">
        <v>18.010000000000002</v>
      </c>
      <c r="J112" s="3">
        <v>9.65</v>
      </c>
      <c r="K112" s="3">
        <v>14.12</v>
      </c>
      <c r="L112" s="21">
        <v>12.4</v>
      </c>
      <c r="M112" s="3">
        <v>2.31</v>
      </c>
      <c r="N112" s="2" t="s">
        <v>16</v>
      </c>
      <c r="O112" s="4" t="s">
        <v>17</v>
      </c>
      <c r="P112" s="18" t="s">
        <v>18</v>
      </c>
      <c r="Q112" s="5">
        <f t="shared" si="3"/>
        <v>14.263999999999999</v>
      </c>
      <c r="R112" s="5">
        <f t="shared" si="4"/>
        <v>11.025</v>
      </c>
      <c r="S112" s="5">
        <f t="shared" si="4"/>
        <v>8.2149999999999999</v>
      </c>
      <c r="T112" s="23">
        <f>('Investor-Inputs'!$G$19 * Q112) + ('Investor-Inputs'!$J$19 * R112) + ('Investor-Inputs'!$N$19 * S112)</f>
        <v>73.057000000000002</v>
      </c>
      <c r="U112" s="27">
        <f t="shared" si="5"/>
        <v>176</v>
      </c>
    </row>
    <row r="113" spans="3:21" x14ac:dyDescent="0.25">
      <c r="C113" s="2" t="s">
        <v>134</v>
      </c>
      <c r="D113" s="2">
        <v>4</v>
      </c>
      <c r="E113" s="2" t="s">
        <v>14</v>
      </c>
      <c r="F113" s="2" t="s">
        <v>132</v>
      </c>
      <c r="G113" s="3">
        <v>0.61</v>
      </c>
      <c r="H113" s="3">
        <v>-4.0999999999999996</v>
      </c>
      <c r="I113" s="3">
        <v>17.86</v>
      </c>
      <c r="J113" s="3">
        <v>8.02</v>
      </c>
      <c r="K113" s="3">
        <v>15.3</v>
      </c>
      <c r="L113" s="21">
        <v>12.36</v>
      </c>
      <c r="M113" s="3">
        <v>1.81</v>
      </c>
      <c r="N113" s="2" t="s">
        <v>16</v>
      </c>
      <c r="O113" s="4" t="s">
        <v>17</v>
      </c>
      <c r="P113" s="18" t="s">
        <v>18</v>
      </c>
      <c r="Q113" s="5">
        <f t="shared" si="3"/>
        <v>14.794</v>
      </c>
      <c r="R113" s="5">
        <f t="shared" si="4"/>
        <v>10.19</v>
      </c>
      <c r="S113" s="5">
        <f t="shared" si="4"/>
        <v>8.5549999999999997</v>
      </c>
      <c r="T113" s="23">
        <f>('Investor-Inputs'!$G$19 * Q113) + ('Investor-Inputs'!$J$19 * R113) + ('Investor-Inputs'!$N$19 * S113)</f>
        <v>73.317000000000007</v>
      </c>
      <c r="U113" s="27">
        <f t="shared" si="5"/>
        <v>174</v>
      </c>
    </row>
    <row r="114" spans="3:21" x14ac:dyDescent="0.25">
      <c r="C114" s="2" t="s">
        <v>135</v>
      </c>
      <c r="D114" s="2">
        <v>4</v>
      </c>
      <c r="E114" s="2" t="s">
        <v>14</v>
      </c>
      <c r="F114" s="2" t="s">
        <v>132</v>
      </c>
      <c r="G114" s="3">
        <v>-2.77</v>
      </c>
      <c r="H114" s="3">
        <v>-7.99</v>
      </c>
      <c r="I114" s="3">
        <v>15.53</v>
      </c>
      <c r="J114" s="3">
        <v>4.93</v>
      </c>
      <c r="K114" s="3">
        <v>14.72</v>
      </c>
      <c r="L114" s="21">
        <v>10.67</v>
      </c>
      <c r="M114" s="3">
        <v>1.83</v>
      </c>
      <c r="N114" s="2" t="s">
        <v>16</v>
      </c>
      <c r="O114" s="4" t="s">
        <v>24</v>
      </c>
      <c r="P114" s="18" t="s">
        <v>18</v>
      </c>
      <c r="Q114" s="5">
        <f t="shared" si="3"/>
        <v>13.571999999999999</v>
      </c>
      <c r="R114" s="5">
        <f t="shared" si="4"/>
        <v>7.8</v>
      </c>
      <c r="S114" s="5">
        <f t="shared" si="4"/>
        <v>8.2750000000000004</v>
      </c>
      <c r="T114" s="23">
        <f>('Investor-Inputs'!$G$19 * Q114) + ('Investor-Inputs'!$J$19 * R114) + ('Investor-Inputs'!$N$19 * S114)</f>
        <v>64.590999999999994</v>
      </c>
      <c r="U114" s="27">
        <f t="shared" si="5"/>
        <v>208</v>
      </c>
    </row>
    <row r="115" spans="3:21" x14ac:dyDescent="0.25">
      <c r="C115" s="2" t="s">
        <v>136</v>
      </c>
      <c r="D115" s="2">
        <v>5</v>
      </c>
      <c r="E115" s="2" t="s">
        <v>14</v>
      </c>
      <c r="F115" s="2" t="s">
        <v>132</v>
      </c>
      <c r="G115" s="3">
        <v>-2.14</v>
      </c>
      <c r="H115" s="3">
        <v>-8.99</v>
      </c>
      <c r="I115" s="3">
        <v>17.36</v>
      </c>
      <c r="J115" s="3">
        <v>7</v>
      </c>
      <c r="K115" s="3">
        <v>17.97</v>
      </c>
      <c r="L115" s="21">
        <v>13.3</v>
      </c>
      <c r="M115" s="3">
        <v>1.69</v>
      </c>
      <c r="N115" s="2" t="s">
        <v>16</v>
      </c>
      <c r="O115" s="4" t="s">
        <v>17</v>
      </c>
      <c r="P115" s="18" t="s">
        <v>18</v>
      </c>
      <c r="Q115" s="5">
        <f t="shared" si="3"/>
        <v>15.928999999999998</v>
      </c>
      <c r="R115" s="5">
        <f t="shared" si="4"/>
        <v>10.15</v>
      </c>
      <c r="S115" s="5">
        <f t="shared" si="4"/>
        <v>9.83</v>
      </c>
      <c r="T115" s="23">
        <f>('Investor-Inputs'!$G$19 * Q115) + ('Investor-Inputs'!$J$19 * R115) + ('Investor-Inputs'!$N$19 * S115)</f>
        <v>77.916999999999987</v>
      </c>
      <c r="U115" s="27">
        <f t="shared" si="5"/>
        <v>146</v>
      </c>
    </row>
    <row r="116" spans="3:21" x14ac:dyDescent="0.25">
      <c r="C116" s="2" t="s">
        <v>137</v>
      </c>
      <c r="D116" s="2">
        <v>4</v>
      </c>
      <c r="E116" s="2" t="s">
        <v>14</v>
      </c>
      <c r="F116" s="2" t="s">
        <v>132</v>
      </c>
      <c r="G116" s="3">
        <v>6.74</v>
      </c>
      <c r="H116" s="3">
        <v>0.87</v>
      </c>
      <c r="I116" s="3">
        <v>18.21</v>
      </c>
      <c r="J116" s="3">
        <v>9.58</v>
      </c>
      <c r="K116" s="3">
        <v>14.59</v>
      </c>
      <c r="L116" s="21">
        <v>13.03</v>
      </c>
      <c r="M116" s="3">
        <v>2.06</v>
      </c>
      <c r="N116" s="2" t="s">
        <v>16</v>
      </c>
      <c r="O116" s="4" t="s">
        <v>17</v>
      </c>
      <c r="P116" s="18" t="s">
        <v>18</v>
      </c>
      <c r="Q116" s="5">
        <f t="shared" si="3"/>
        <v>14.579000000000001</v>
      </c>
      <c r="R116" s="5">
        <f t="shared" si="4"/>
        <v>11.305</v>
      </c>
      <c r="S116" s="5">
        <f t="shared" si="4"/>
        <v>8.3249999999999993</v>
      </c>
      <c r="T116" s="23">
        <f>('Investor-Inputs'!$G$19 * Q116) + ('Investor-Inputs'!$J$19 * R116) + ('Investor-Inputs'!$N$19 * S116)</f>
        <v>74.672000000000011</v>
      </c>
      <c r="U116" s="27">
        <f t="shared" si="5"/>
        <v>164</v>
      </c>
    </row>
    <row r="117" spans="3:21" x14ac:dyDescent="0.25">
      <c r="C117" s="2" t="s">
        <v>138</v>
      </c>
      <c r="D117" s="2">
        <v>4</v>
      </c>
      <c r="E117" s="2" t="s">
        <v>14</v>
      </c>
      <c r="F117" s="2" t="s">
        <v>132</v>
      </c>
      <c r="G117" s="3">
        <v>4.49</v>
      </c>
      <c r="H117" s="3">
        <v>-1.56</v>
      </c>
      <c r="I117" s="3">
        <v>17.850000000000001</v>
      </c>
      <c r="J117" s="3">
        <v>7.12</v>
      </c>
      <c r="K117" s="3">
        <v>15.37</v>
      </c>
      <c r="L117" s="21">
        <v>12.17</v>
      </c>
      <c r="M117" s="3">
        <v>2.58</v>
      </c>
      <c r="N117" s="2" t="s">
        <v>16</v>
      </c>
      <c r="O117" s="4" t="s">
        <v>17</v>
      </c>
      <c r="P117" s="18" t="s">
        <v>18</v>
      </c>
      <c r="Q117" s="5">
        <f t="shared" si="3"/>
        <v>14.824999999999999</v>
      </c>
      <c r="R117" s="5">
        <f t="shared" si="4"/>
        <v>9.6449999999999996</v>
      </c>
      <c r="S117" s="5">
        <f t="shared" si="4"/>
        <v>8.9749999999999996</v>
      </c>
      <c r="T117" s="23">
        <f>('Investor-Inputs'!$G$19 * Q117) + ('Investor-Inputs'!$J$19 * R117) + ('Investor-Inputs'!$N$19 * S117)</f>
        <v>72.739999999999995</v>
      </c>
      <c r="U117" s="27">
        <f t="shared" si="5"/>
        <v>180</v>
      </c>
    </row>
    <row r="118" spans="3:21" x14ac:dyDescent="0.25">
      <c r="C118" s="2" t="s">
        <v>139</v>
      </c>
      <c r="D118" s="2">
        <v>5</v>
      </c>
      <c r="E118" s="2" t="s">
        <v>14</v>
      </c>
      <c r="F118" s="2" t="s">
        <v>132</v>
      </c>
      <c r="G118" s="3">
        <v>15.5</v>
      </c>
      <c r="H118" s="3">
        <v>13.38</v>
      </c>
      <c r="I118" s="3">
        <v>24.83</v>
      </c>
      <c r="J118" s="3">
        <v>15.29</v>
      </c>
      <c r="K118" s="3">
        <v>19.41</v>
      </c>
      <c r="L118" s="21">
        <v>18.43</v>
      </c>
      <c r="M118" s="3">
        <v>1.99</v>
      </c>
      <c r="N118" s="2" t="s">
        <v>16</v>
      </c>
      <c r="O118" s="4" t="s">
        <v>28</v>
      </c>
      <c r="P118" s="18" t="s">
        <v>18</v>
      </c>
      <c r="Q118" s="5">
        <f t="shared" si="3"/>
        <v>19.637</v>
      </c>
      <c r="R118" s="5">
        <f t="shared" si="4"/>
        <v>16.86</v>
      </c>
      <c r="S118" s="5">
        <f t="shared" si="4"/>
        <v>10.7</v>
      </c>
      <c r="T118" s="23">
        <f>('Investor-Inputs'!$G$19 * Q118) + ('Investor-Inputs'!$J$19 * R118) + ('Investor-Inputs'!$N$19 * S118)</f>
        <v>103.331</v>
      </c>
      <c r="U118" s="27">
        <f t="shared" si="5"/>
        <v>43</v>
      </c>
    </row>
    <row r="119" spans="3:21" x14ac:dyDescent="0.25">
      <c r="C119" s="2" t="s">
        <v>140</v>
      </c>
      <c r="D119" s="2">
        <v>4</v>
      </c>
      <c r="E119" s="2" t="s">
        <v>14</v>
      </c>
      <c r="F119" s="2" t="s">
        <v>132</v>
      </c>
      <c r="G119" s="3">
        <v>5.57</v>
      </c>
      <c r="H119" s="3">
        <v>1.93</v>
      </c>
      <c r="I119" s="3">
        <v>17.239999999999998</v>
      </c>
      <c r="J119" s="3">
        <v>8.76</v>
      </c>
      <c r="K119" s="3">
        <v>15.46</v>
      </c>
      <c r="L119" s="21">
        <v>12.52</v>
      </c>
      <c r="M119" s="3">
        <v>1.88</v>
      </c>
      <c r="N119" s="2" t="s">
        <v>16</v>
      </c>
      <c r="O119" s="4" t="s">
        <v>17</v>
      </c>
      <c r="P119" s="18" t="s">
        <v>18</v>
      </c>
      <c r="Q119" s="5">
        <f t="shared" si="3"/>
        <v>14.626000000000001</v>
      </c>
      <c r="R119" s="5">
        <f t="shared" si="4"/>
        <v>10.64</v>
      </c>
      <c r="S119" s="5">
        <f t="shared" si="4"/>
        <v>8.67</v>
      </c>
      <c r="T119" s="23">
        <f>('Investor-Inputs'!$G$19 * Q119) + ('Investor-Inputs'!$J$19 * R119) + ('Investor-Inputs'!$N$19 * S119)</f>
        <v>73.828000000000003</v>
      </c>
      <c r="U119" s="27">
        <f t="shared" si="5"/>
        <v>170</v>
      </c>
    </row>
    <row r="120" spans="3:21" x14ac:dyDescent="0.25">
      <c r="C120" s="2" t="s">
        <v>141</v>
      </c>
      <c r="D120" s="2">
        <v>5</v>
      </c>
      <c r="E120" s="2" t="s">
        <v>14</v>
      </c>
      <c r="F120" s="2" t="s">
        <v>132</v>
      </c>
      <c r="G120" s="3">
        <v>-3.56</v>
      </c>
      <c r="H120" s="3">
        <v>-9.66</v>
      </c>
      <c r="I120" s="3">
        <v>12.72</v>
      </c>
      <c r="J120" s="3">
        <v>4.3</v>
      </c>
      <c r="K120" s="3">
        <v>14.65</v>
      </c>
      <c r="L120" s="21">
        <v>9.91</v>
      </c>
      <c r="M120" s="3">
        <v>1.79</v>
      </c>
      <c r="N120" s="2" t="s">
        <v>16</v>
      </c>
      <c r="O120" s="4" t="s">
        <v>24</v>
      </c>
      <c r="P120" s="18" t="s">
        <v>18</v>
      </c>
      <c r="Q120" s="5">
        <f t="shared" si="3"/>
        <v>12.413</v>
      </c>
      <c r="R120" s="5">
        <f t="shared" si="4"/>
        <v>7.1050000000000004</v>
      </c>
      <c r="S120" s="5">
        <f t="shared" si="4"/>
        <v>8.2200000000000006</v>
      </c>
      <c r="T120" s="23">
        <f>('Investor-Inputs'!$G$19 * Q120) + ('Investor-Inputs'!$J$19 * R120) + ('Investor-Inputs'!$N$19 * S120)</f>
        <v>59.669000000000004</v>
      </c>
      <c r="U120" s="27">
        <f t="shared" si="5"/>
        <v>242</v>
      </c>
    </row>
    <row r="121" spans="3:21" x14ac:dyDescent="0.25">
      <c r="C121" s="2" t="s">
        <v>142</v>
      </c>
      <c r="D121" s="2">
        <v>4</v>
      </c>
      <c r="E121" s="2" t="s">
        <v>14</v>
      </c>
      <c r="F121" s="2" t="s">
        <v>132</v>
      </c>
      <c r="G121" s="3">
        <v>-3.15</v>
      </c>
      <c r="H121" s="3">
        <v>-8.5399999999999991</v>
      </c>
      <c r="I121" s="3">
        <v>14.05</v>
      </c>
      <c r="J121" s="3">
        <v>4.1100000000000003</v>
      </c>
      <c r="K121" s="3">
        <v>12.16</v>
      </c>
      <c r="L121" s="21">
        <v>9.3000000000000007</v>
      </c>
      <c r="M121" s="3">
        <v>2.1</v>
      </c>
      <c r="N121" s="2" t="s">
        <v>16</v>
      </c>
      <c r="O121" s="4" t="s">
        <v>24</v>
      </c>
      <c r="P121" s="18" t="s">
        <v>18</v>
      </c>
      <c r="Q121" s="5">
        <f t="shared" si="3"/>
        <v>11.700000000000001</v>
      </c>
      <c r="R121" s="5">
        <f t="shared" si="4"/>
        <v>6.7050000000000001</v>
      </c>
      <c r="S121" s="5">
        <f t="shared" si="4"/>
        <v>7.13</v>
      </c>
      <c r="T121" s="23">
        <f>('Investor-Inputs'!$G$19 * Q121) + ('Investor-Inputs'!$J$19 * R121) + ('Investor-Inputs'!$N$19 * S121)</f>
        <v>55.640000000000008</v>
      </c>
      <c r="U121" s="27">
        <f t="shared" si="5"/>
        <v>260</v>
      </c>
    </row>
    <row r="122" spans="3:21" x14ac:dyDescent="0.25">
      <c r="C122" s="2" t="s">
        <v>143</v>
      </c>
      <c r="D122" s="2">
        <v>5</v>
      </c>
      <c r="E122" s="2" t="s">
        <v>14</v>
      </c>
      <c r="F122" s="2" t="s">
        <v>132</v>
      </c>
      <c r="G122" s="3">
        <v>2.2000000000000002</v>
      </c>
      <c r="H122" s="3">
        <v>-2.81</v>
      </c>
      <c r="I122" s="3">
        <v>20.64</v>
      </c>
      <c r="J122" s="3">
        <v>8.86</v>
      </c>
      <c r="K122" s="3">
        <v>18.489999999999998</v>
      </c>
      <c r="L122" s="21">
        <v>15.28</v>
      </c>
      <c r="M122" s="3">
        <v>1.62</v>
      </c>
      <c r="N122" s="2" t="s">
        <v>16</v>
      </c>
      <c r="O122" s="4" t="s">
        <v>28</v>
      </c>
      <c r="P122" s="18" t="s">
        <v>18</v>
      </c>
      <c r="Q122" s="5">
        <f t="shared" si="3"/>
        <v>17.500999999999998</v>
      </c>
      <c r="R122" s="5">
        <f t="shared" si="4"/>
        <v>12.07</v>
      </c>
      <c r="S122" s="5">
        <f t="shared" si="4"/>
        <v>10.055</v>
      </c>
      <c r="T122" s="23">
        <f>('Investor-Inputs'!$G$19 * Q122) + ('Investor-Inputs'!$J$19 * R122) + ('Investor-Inputs'!$N$19 * S122)</f>
        <v>86.698000000000008</v>
      </c>
      <c r="U122" s="27">
        <f t="shared" si="5"/>
        <v>95</v>
      </c>
    </row>
    <row r="123" spans="3:21" x14ac:dyDescent="0.25">
      <c r="C123" s="2" t="s">
        <v>144</v>
      </c>
      <c r="D123" s="2">
        <v>5</v>
      </c>
      <c r="E123" s="2" t="s">
        <v>14</v>
      </c>
      <c r="F123" s="2" t="s">
        <v>132</v>
      </c>
      <c r="G123" s="3">
        <v>2.7</v>
      </c>
      <c r="H123" s="3">
        <v>-3.52</v>
      </c>
      <c r="I123" s="3">
        <v>18.48</v>
      </c>
      <c r="J123" s="3">
        <v>8.5500000000000007</v>
      </c>
      <c r="K123" s="2"/>
      <c r="L123" s="20"/>
      <c r="M123" s="3">
        <v>2.66</v>
      </c>
      <c r="N123" s="2" t="s">
        <v>16</v>
      </c>
      <c r="O123" s="4" t="s">
        <v>28</v>
      </c>
      <c r="P123" s="18" t="s">
        <v>18</v>
      </c>
      <c r="Q123" s="5">
        <f t="shared" si="3"/>
        <v>7.3920000000000003</v>
      </c>
      <c r="R123" s="5">
        <f t="shared" si="4"/>
        <v>4.2750000000000004</v>
      </c>
      <c r="S123" s="5">
        <f t="shared" si="4"/>
        <v>1.33</v>
      </c>
      <c r="T123" s="23">
        <f>('Investor-Inputs'!$G$19 * Q123) + ('Investor-Inputs'!$J$19 * R123) + ('Investor-Inputs'!$N$19 * S123)</f>
        <v>32.056000000000004</v>
      </c>
      <c r="U123" s="27">
        <f t="shared" si="5"/>
        <v>502</v>
      </c>
    </row>
    <row r="124" spans="3:21" x14ac:dyDescent="0.25">
      <c r="C124" s="2" t="s">
        <v>145</v>
      </c>
      <c r="D124" s="2">
        <v>5</v>
      </c>
      <c r="E124" s="2" t="s">
        <v>14</v>
      </c>
      <c r="F124" s="2" t="s">
        <v>146</v>
      </c>
      <c r="G124" s="3">
        <v>8.19</v>
      </c>
      <c r="H124" s="3">
        <v>2.93</v>
      </c>
      <c r="I124" s="3">
        <v>19.11</v>
      </c>
      <c r="J124" s="3">
        <v>12.64</v>
      </c>
      <c r="K124" s="3">
        <v>15.98</v>
      </c>
      <c r="L124" s="21">
        <v>15.19</v>
      </c>
      <c r="M124" s="3">
        <v>2.0699999999999998</v>
      </c>
      <c r="N124" s="2" t="s">
        <v>16</v>
      </c>
      <c r="O124" s="4" t="s">
        <v>28</v>
      </c>
      <c r="P124" s="18" t="s">
        <v>18</v>
      </c>
      <c r="Q124" s="5">
        <f t="shared" si="3"/>
        <v>15.634</v>
      </c>
      <c r="R124" s="5">
        <f t="shared" si="4"/>
        <v>13.914999999999999</v>
      </c>
      <c r="S124" s="5">
        <f t="shared" si="4"/>
        <v>9.0250000000000004</v>
      </c>
      <c r="T124" s="23">
        <f>('Investor-Inputs'!$G$19 * Q124) + ('Investor-Inputs'!$J$19 * R124) + ('Investor-Inputs'!$N$19 * S124)</f>
        <v>83.757000000000005</v>
      </c>
      <c r="U124" s="27">
        <f t="shared" si="5"/>
        <v>114</v>
      </c>
    </row>
    <row r="125" spans="3:21" x14ac:dyDescent="0.25">
      <c r="C125" s="2" t="s">
        <v>147</v>
      </c>
      <c r="D125" s="2">
        <v>4</v>
      </c>
      <c r="E125" s="2" t="s">
        <v>14</v>
      </c>
      <c r="F125" s="2" t="s">
        <v>146</v>
      </c>
      <c r="G125" s="3">
        <v>7.33</v>
      </c>
      <c r="H125" s="3">
        <v>-1.24</v>
      </c>
      <c r="I125" s="3">
        <v>19.38</v>
      </c>
      <c r="J125" s="3">
        <v>10.02</v>
      </c>
      <c r="K125" s="2"/>
      <c r="L125" s="20"/>
      <c r="M125" s="3">
        <v>1.31</v>
      </c>
      <c r="N125" s="2" t="s">
        <v>16</v>
      </c>
      <c r="O125" s="4" t="s">
        <v>28</v>
      </c>
      <c r="P125" s="18" t="s">
        <v>18</v>
      </c>
      <c r="Q125" s="5">
        <f t="shared" si="3"/>
        <v>7.7519999999999998</v>
      </c>
      <c r="R125" s="5">
        <f t="shared" si="4"/>
        <v>5.01</v>
      </c>
      <c r="S125" s="5">
        <f t="shared" si="4"/>
        <v>0.65500000000000003</v>
      </c>
      <c r="T125" s="23">
        <f>('Investor-Inputs'!$G$19 * Q125) + ('Investor-Inputs'!$J$19 * R125) + ('Investor-Inputs'!$N$19 * S125)</f>
        <v>33.930999999999997</v>
      </c>
      <c r="U125" s="27">
        <f t="shared" si="5"/>
        <v>434</v>
      </c>
    </row>
    <row r="126" spans="3:21" x14ac:dyDescent="0.25">
      <c r="C126" s="2" t="s">
        <v>148</v>
      </c>
      <c r="D126" s="2">
        <v>4</v>
      </c>
      <c r="E126" s="2" t="s">
        <v>14</v>
      </c>
      <c r="F126" s="2" t="s">
        <v>146</v>
      </c>
      <c r="G126" s="3">
        <v>2.0499999999999998</v>
      </c>
      <c r="H126" s="3">
        <v>-2.4700000000000002</v>
      </c>
      <c r="I126" s="3">
        <v>15.47</v>
      </c>
      <c r="J126" s="3">
        <v>8.75</v>
      </c>
      <c r="K126" s="3">
        <v>16.440000000000001</v>
      </c>
      <c r="L126" s="21">
        <v>12.83</v>
      </c>
      <c r="M126" s="3">
        <v>1.79</v>
      </c>
      <c r="N126" s="2" t="s">
        <v>16</v>
      </c>
      <c r="O126" s="4" t="s">
        <v>17</v>
      </c>
      <c r="P126" s="18" t="s">
        <v>18</v>
      </c>
      <c r="Q126" s="5">
        <f t="shared" si="3"/>
        <v>14.408000000000001</v>
      </c>
      <c r="R126" s="5">
        <f t="shared" si="4"/>
        <v>10.79</v>
      </c>
      <c r="S126" s="5">
        <f t="shared" si="4"/>
        <v>9.1150000000000002</v>
      </c>
      <c r="T126" s="23">
        <f>('Investor-Inputs'!$G$19 * Q126) + ('Investor-Inputs'!$J$19 * R126) + ('Investor-Inputs'!$N$19 * S126)</f>
        <v>73.918999999999997</v>
      </c>
      <c r="U126" s="27">
        <f t="shared" si="5"/>
        <v>168</v>
      </c>
    </row>
    <row r="127" spans="3:21" x14ac:dyDescent="0.25">
      <c r="C127" s="2" t="s">
        <v>149</v>
      </c>
      <c r="D127" s="2">
        <v>4</v>
      </c>
      <c r="E127" s="2" t="s">
        <v>14</v>
      </c>
      <c r="F127" s="2" t="s">
        <v>146</v>
      </c>
      <c r="G127" s="3">
        <v>5.93</v>
      </c>
      <c r="H127" s="3">
        <v>-1.51</v>
      </c>
      <c r="I127" s="3">
        <v>17.559999999999999</v>
      </c>
      <c r="J127" s="3">
        <v>11.94</v>
      </c>
      <c r="K127" s="3">
        <v>14.01</v>
      </c>
      <c r="L127" s="21">
        <v>13.86</v>
      </c>
      <c r="M127" s="3">
        <v>2.02</v>
      </c>
      <c r="N127" s="2" t="s">
        <v>16</v>
      </c>
      <c r="O127" s="4" t="s">
        <v>17</v>
      </c>
      <c r="P127" s="18" t="s">
        <v>18</v>
      </c>
      <c r="Q127" s="5">
        <f t="shared" si="3"/>
        <v>14.029</v>
      </c>
      <c r="R127" s="5">
        <f t="shared" si="4"/>
        <v>12.899999999999999</v>
      </c>
      <c r="S127" s="5">
        <f t="shared" si="4"/>
        <v>8.0150000000000006</v>
      </c>
      <c r="T127" s="23">
        <f>('Investor-Inputs'!$G$19 * Q127) + ('Investor-Inputs'!$J$19 * R127) + ('Investor-Inputs'!$N$19 * S127)</f>
        <v>75.902000000000001</v>
      </c>
      <c r="U127" s="27">
        <f t="shared" si="5"/>
        <v>154</v>
      </c>
    </row>
    <row r="128" spans="3:21" x14ac:dyDescent="0.25">
      <c r="C128" s="2" t="s">
        <v>150</v>
      </c>
      <c r="D128" s="2">
        <v>4</v>
      </c>
      <c r="E128" s="2" t="s">
        <v>14</v>
      </c>
      <c r="F128" s="2" t="s">
        <v>146</v>
      </c>
      <c r="G128" s="3">
        <v>2.25</v>
      </c>
      <c r="H128" s="3">
        <v>-0.5</v>
      </c>
      <c r="I128" s="3">
        <v>15.66</v>
      </c>
      <c r="J128" s="3">
        <v>8.2799999999999994</v>
      </c>
      <c r="K128" s="3">
        <v>14.74</v>
      </c>
      <c r="L128" s="21">
        <v>12.85</v>
      </c>
      <c r="M128" s="3">
        <v>2.08</v>
      </c>
      <c r="N128" s="2" t="s">
        <v>16</v>
      </c>
      <c r="O128" s="4" t="s">
        <v>17</v>
      </c>
      <c r="P128" s="18" t="s">
        <v>18</v>
      </c>
      <c r="Q128" s="5">
        <f t="shared" si="3"/>
        <v>13.634</v>
      </c>
      <c r="R128" s="5">
        <f t="shared" si="4"/>
        <v>10.565</v>
      </c>
      <c r="S128" s="5">
        <f t="shared" si="4"/>
        <v>8.41</v>
      </c>
      <c r="T128" s="23">
        <f>('Investor-Inputs'!$G$19 * Q128) + ('Investor-Inputs'!$J$19 * R128) + ('Investor-Inputs'!$N$19 * S128)</f>
        <v>70.441999999999993</v>
      </c>
      <c r="U128" s="27">
        <f t="shared" si="5"/>
        <v>190</v>
      </c>
    </row>
    <row r="129" spans="3:21" x14ac:dyDescent="0.25">
      <c r="C129" s="2" t="s">
        <v>151</v>
      </c>
      <c r="D129" s="2">
        <v>5</v>
      </c>
      <c r="E129" s="2" t="s">
        <v>14</v>
      </c>
      <c r="F129" s="2" t="s">
        <v>152</v>
      </c>
      <c r="G129" s="3">
        <v>7.1</v>
      </c>
      <c r="H129" s="3">
        <v>5.38</v>
      </c>
      <c r="I129" s="3">
        <v>27.02</v>
      </c>
      <c r="J129" s="3">
        <v>15.8</v>
      </c>
      <c r="K129" s="3">
        <v>16.23</v>
      </c>
      <c r="L129" s="21">
        <v>18.239999999999998</v>
      </c>
      <c r="M129" s="3">
        <v>2.08</v>
      </c>
      <c r="N129" s="2" t="s">
        <v>16</v>
      </c>
      <c r="O129" s="4" t="s">
        <v>28</v>
      </c>
      <c r="P129" s="18" t="s">
        <v>18</v>
      </c>
      <c r="Q129" s="5">
        <f t="shared" si="3"/>
        <v>18.923000000000002</v>
      </c>
      <c r="R129" s="5">
        <f t="shared" si="4"/>
        <v>17.02</v>
      </c>
      <c r="S129" s="5">
        <f t="shared" si="4"/>
        <v>9.1550000000000011</v>
      </c>
      <c r="T129" s="23">
        <f>('Investor-Inputs'!$G$19 * Q129) + ('Investor-Inputs'!$J$19 * R129) + ('Investor-Inputs'!$N$19 * S129)</f>
        <v>99.963999999999999</v>
      </c>
      <c r="U129" s="27">
        <f t="shared" si="5"/>
        <v>51</v>
      </c>
    </row>
    <row r="130" spans="3:21" x14ac:dyDescent="0.25">
      <c r="C130" s="2" t="s">
        <v>153</v>
      </c>
      <c r="D130" s="2">
        <v>4</v>
      </c>
      <c r="E130" s="2" t="s">
        <v>14</v>
      </c>
      <c r="F130" s="2" t="s">
        <v>152</v>
      </c>
      <c r="G130" s="3">
        <v>4.5599999999999996</v>
      </c>
      <c r="H130" s="3">
        <v>6.72</v>
      </c>
      <c r="I130" s="3">
        <v>24.83</v>
      </c>
      <c r="J130" s="3">
        <v>14.42</v>
      </c>
      <c r="K130" s="3">
        <v>15.56</v>
      </c>
      <c r="L130" s="21">
        <v>17.309999999999999</v>
      </c>
      <c r="M130" s="3">
        <v>1.9</v>
      </c>
      <c r="N130" s="2" t="s">
        <v>16</v>
      </c>
      <c r="O130" s="4" t="s">
        <v>17</v>
      </c>
      <c r="P130" s="18" t="s">
        <v>18</v>
      </c>
      <c r="Q130" s="5">
        <f t="shared" si="3"/>
        <v>17.712</v>
      </c>
      <c r="R130" s="5">
        <f t="shared" si="4"/>
        <v>15.864999999999998</v>
      </c>
      <c r="S130" s="5">
        <f t="shared" si="4"/>
        <v>8.73</v>
      </c>
      <c r="T130" s="23">
        <f>('Investor-Inputs'!$G$19 * Q130) + ('Investor-Inputs'!$J$19 * R130) + ('Investor-Inputs'!$N$19 * S130)</f>
        <v>93.595999999999989</v>
      </c>
      <c r="U130" s="27">
        <f t="shared" si="5"/>
        <v>67</v>
      </c>
    </row>
    <row r="131" spans="3:21" x14ac:dyDescent="0.25">
      <c r="C131" s="2" t="s">
        <v>154</v>
      </c>
      <c r="D131" s="2">
        <v>4</v>
      </c>
      <c r="E131" s="2" t="s">
        <v>14</v>
      </c>
      <c r="F131" s="2" t="s">
        <v>152</v>
      </c>
      <c r="G131" s="3">
        <v>8.33</v>
      </c>
      <c r="H131" s="3">
        <v>6.92</v>
      </c>
      <c r="I131" s="3">
        <v>24.87</v>
      </c>
      <c r="J131" s="3">
        <v>14.86</v>
      </c>
      <c r="K131" s="3">
        <v>13.99</v>
      </c>
      <c r="L131" s="21">
        <v>16.38</v>
      </c>
      <c r="M131" s="3">
        <v>2.2999999999999998</v>
      </c>
      <c r="N131" s="2" t="s">
        <v>16</v>
      </c>
      <c r="O131" s="4" t="s">
        <v>24</v>
      </c>
      <c r="P131" s="18" t="s">
        <v>18</v>
      </c>
      <c r="Q131" s="5">
        <f t="shared" si="3"/>
        <v>16.943000000000001</v>
      </c>
      <c r="R131" s="5">
        <f t="shared" si="4"/>
        <v>15.62</v>
      </c>
      <c r="S131" s="5">
        <f t="shared" si="4"/>
        <v>8.1449999999999996</v>
      </c>
      <c r="T131" s="23">
        <f>('Investor-Inputs'!$G$19 * Q131) + ('Investor-Inputs'!$J$19 * R131) + ('Investor-Inputs'!$N$19 * S131)</f>
        <v>90.213999999999999</v>
      </c>
      <c r="U131" s="27">
        <f t="shared" si="5"/>
        <v>81</v>
      </c>
    </row>
    <row r="132" spans="3:21" x14ac:dyDescent="0.25">
      <c r="C132" s="2" t="s">
        <v>155</v>
      </c>
      <c r="D132" s="2">
        <v>4</v>
      </c>
      <c r="E132" s="2" t="s">
        <v>14</v>
      </c>
      <c r="F132" s="2" t="s">
        <v>156</v>
      </c>
      <c r="G132" s="3">
        <v>-3.31</v>
      </c>
      <c r="H132" s="3">
        <v>-7.98</v>
      </c>
      <c r="I132" s="3">
        <v>13.23</v>
      </c>
      <c r="J132" s="3">
        <v>3.2</v>
      </c>
      <c r="K132" s="3">
        <v>12.93</v>
      </c>
      <c r="L132" s="21">
        <v>8.77</v>
      </c>
      <c r="M132" s="3">
        <v>2.16</v>
      </c>
      <c r="N132" s="2" t="s">
        <v>16</v>
      </c>
      <c r="O132" s="4" t="s">
        <v>24</v>
      </c>
      <c r="P132" s="18" t="s">
        <v>18</v>
      </c>
      <c r="Q132" s="5">
        <f t="shared" si="3"/>
        <v>11.757000000000001</v>
      </c>
      <c r="R132" s="5">
        <f t="shared" si="4"/>
        <v>5.9849999999999994</v>
      </c>
      <c r="S132" s="5">
        <f t="shared" si="4"/>
        <v>7.5449999999999999</v>
      </c>
      <c r="T132" s="23">
        <f>('Investor-Inputs'!$G$19 * Q132) + ('Investor-Inputs'!$J$19 * R132) + ('Investor-Inputs'!$N$19 * S132)</f>
        <v>54.786000000000001</v>
      </c>
      <c r="U132" s="27">
        <f t="shared" si="5"/>
        <v>269</v>
      </c>
    </row>
    <row r="133" spans="3:21" x14ac:dyDescent="0.25">
      <c r="C133" s="2" t="s">
        <v>157</v>
      </c>
      <c r="D133" s="2">
        <v>5</v>
      </c>
      <c r="E133" s="2" t="s">
        <v>14</v>
      </c>
      <c r="F133" s="2" t="s">
        <v>156</v>
      </c>
      <c r="G133" s="3">
        <v>-0.17</v>
      </c>
      <c r="H133" s="3">
        <v>-5.69</v>
      </c>
      <c r="I133" s="3">
        <v>14</v>
      </c>
      <c r="J133" s="3">
        <v>4.08</v>
      </c>
      <c r="K133" s="3">
        <v>14.95</v>
      </c>
      <c r="L133" s="21">
        <v>10.32</v>
      </c>
      <c r="M133" s="3">
        <v>2.25</v>
      </c>
      <c r="N133" s="2" t="s">
        <v>16</v>
      </c>
      <c r="O133" s="4" t="s">
        <v>17</v>
      </c>
      <c r="P133" s="18" t="s">
        <v>18</v>
      </c>
      <c r="Q133" s="5">
        <f t="shared" si="3"/>
        <v>13.074999999999999</v>
      </c>
      <c r="R133" s="5">
        <f t="shared" si="4"/>
        <v>7.2</v>
      </c>
      <c r="S133" s="5">
        <f t="shared" si="4"/>
        <v>8.6</v>
      </c>
      <c r="T133" s="23">
        <f>('Investor-Inputs'!$G$19 * Q133) + ('Investor-Inputs'!$J$19 * R133) + ('Investor-Inputs'!$N$19 * S133)</f>
        <v>62.224999999999994</v>
      </c>
      <c r="U133" s="27">
        <f t="shared" si="5"/>
        <v>224</v>
      </c>
    </row>
    <row r="134" spans="3:21" x14ac:dyDescent="0.25">
      <c r="C134" s="2" t="s">
        <v>158</v>
      </c>
      <c r="D134" s="2">
        <v>4</v>
      </c>
      <c r="E134" s="2" t="s">
        <v>14</v>
      </c>
      <c r="F134" s="2" t="s">
        <v>156</v>
      </c>
      <c r="G134" s="3">
        <v>-0.06</v>
      </c>
      <c r="H134" s="3">
        <v>-6.54</v>
      </c>
      <c r="I134" s="3">
        <v>13.8</v>
      </c>
      <c r="J134" s="3">
        <v>3.92</v>
      </c>
      <c r="K134" s="3">
        <v>14.55</v>
      </c>
      <c r="L134" s="21">
        <v>9.9600000000000009</v>
      </c>
      <c r="M134" s="3">
        <v>1.91</v>
      </c>
      <c r="N134" s="2" t="s">
        <v>16</v>
      </c>
      <c r="O134" s="4" t="s">
        <v>17</v>
      </c>
      <c r="P134" s="18" t="s">
        <v>18</v>
      </c>
      <c r="Q134" s="5">
        <f t="shared" si="3"/>
        <v>12.795000000000002</v>
      </c>
      <c r="R134" s="5">
        <f t="shared" si="4"/>
        <v>6.94</v>
      </c>
      <c r="S134" s="5">
        <f t="shared" si="4"/>
        <v>8.23</v>
      </c>
      <c r="T134" s="23">
        <f>('Investor-Inputs'!$G$19 * Q134) + ('Investor-Inputs'!$J$19 * R134) + ('Investor-Inputs'!$N$19 * S134)</f>
        <v>60.495000000000005</v>
      </c>
      <c r="U134" s="27">
        <f t="shared" si="5"/>
        <v>238</v>
      </c>
    </row>
    <row r="135" spans="3:21" x14ac:dyDescent="0.25">
      <c r="C135" s="2" t="s">
        <v>159</v>
      </c>
      <c r="D135" s="2">
        <v>4</v>
      </c>
      <c r="E135" s="2" t="s">
        <v>14</v>
      </c>
      <c r="F135" s="2" t="s">
        <v>156</v>
      </c>
      <c r="G135" s="3">
        <v>-4.71</v>
      </c>
      <c r="H135" s="3">
        <v>-8.57</v>
      </c>
      <c r="I135" s="3">
        <v>13.47</v>
      </c>
      <c r="J135" s="3">
        <v>2.91</v>
      </c>
      <c r="K135" s="3">
        <v>15.63</v>
      </c>
      <c r="L135" s="21">
        <v>9.64</v>
      </c>
      <c r="M135" s="3">
        <v>1.98</v>
      </c>
      <c r="N135" s="2" t="s">
        <v>16</v>
      </c>
      <c r="O135" s="4" t="s">
        <v>17</v>
      </c>
      <c r="P135" s="18" t="s">
        <v>18</v>
      </c>
      <c r="Q135" s="5">
        <f t="shared" si="3"/>
        <v>13.203000000000001</v>
      </c>
      <c r="R135" s="5">
        <f t="shared" si="4"/>
        <v>6.2750000000000004</v>
      </c>
      <c r="S135" s="5">
        <f t="shared" si="4"/>
        <v>8.8049999999999997</v>
      </c>
      <c r="T135" s="23">
        <f>('Investor-Inputs'!$G$19 * Q135) + ('Investor-Inputs'!$J$19 * R135) + ('Investor-Inputs'!$N$19 * S135)</f>
        <v>60.964000000000006</v>
      </c>
      <c r="U135" s="27">
        <f t="shared" si="5"/>
        <v>234</v>
      </c>
    </row>
    <row r="136" spans="3:21" x14ac:dyDescent="0.25">
      <c r="C136" s="2" t="s">
        <v>160</v>
      </c>
      <c r="D136" s="2">
        <v>4</v>
      </c>
      <c r="E136" s="2" t="s">
        <v>14</v>
      </c>
      <c r="F136" s="2" t="s">
        <v>156</v>
      </c>
      <c r="G136" s="3">
        <v>4.07</v>
      </c>
      <c r="H136" s="3">
        <v>1.1499999999999999</v>
      </c>
      <c r="I136" s="3">
        <v>17.14</v>
      </c>
      <c r="J136" s="3">
        <v>7.67</v>
      </c>
      <c r="K136" s="3">
        <v>15.35</v>
      </c>
      <c r="L136" s="21">
        <v>12.16</v>
      </c>
      <c r="M136" s="3">
        <v>2.0099999999999998</v>
      </c>
      <c r="N136" s="2" t="s">
        <v>16</v>
      </c>
      <c r="O136" s="4" t="s">
        <v>28</v>
      </c>
      <c r="P136" s="18" t="s">
        <v>18</v>
      </c>
      <c r="Q136" s="5">
        <f t="shared" ref="Q136:Q199" si="6">I136*0.4+K136*0.5</f>
        <v>14.531000000000001</v>
      </c>
      <c r="R136" s="5">
        <f t="shared" ref="R136:S199" si="7">(L136+J136)/2</f>
        <v>9.9149999999999991</v>
      </c>
      <c r="S136" s="5">
        <f t="shared" si="7"/>
        <v>8.68</v>
      </c>
      <c r="T136" s="23">
        <f>('Investor-Inputs'!$G$19 * Q136) + ('Investor-Inputs'!$J$19 * R136) + ('Investor-Inputs'!$N$19 * S136)</f>
        <v>72.103000000000009</v>
      </c>
      <c r="U136" s="27">
        <f t="shared" ref="U136:U199" si="8">_xlfn.RANK.EQ(T136,$T$7:$T$592,0)</f>
        <v>184</v>
      </c>
    </row>
    <row r="137" spans="3:21" x14ac:dyDescent="0.25">
      <c r="C137" s="2" t="s">
        <v>161</v>
      </c>
      <c r="D137" s="2">
        <v>4</v>
      </c>
      <c r="E137" s="2" t="s">
        <v>14</v>
      </c>
      <c r="F137" s="2" t="s">
        <v>162</v>
      </c>
      <c r="G137" s="3">
        <v>23.44</v>
      </c>
      <c r="H137" s="3">
        <v>20.97</v>
      </c>
      <c r="I137" s="3">
        <v>25.7</v>
      </c>
      <c r="J137" s="3">
        <v>17.38</v>
      </c>
      <c r="K137" s="3">
        <v>22.68</v>
      </c>
      <c r="L137" s="21">
        <v>20.72</v>
      </c>
      <c r="M137" s="3">
        <v>2.39</v>
      </c>
      <c r="N137" s="2" t="s">
        <v>16</v>
      </c>
      <c r="O137" s="4" t="s">
        <v>24</v>
      </c>
      <c r="P137" s="18" t="s">
        <v>18</v>
      </c>
      <c r="Q137" s="5">
        <f t="shared" si="6"/>
        <v>21.62</v>
      </c>
      <c r="R137" s="5">
        <f t="shared" si="7"/>
        <v>19.049999999999997</v>
      </c>
      <c r="S137" s="5">
        <f t="shared" si="7"/>
        <v>12.535</v>
      </c>
      <c r="T137" s="23">
        <f>('Investor-Inputs'!$G$19 * Q137) + ('Investor-Inputs'!$J$19 * R137) + ('Investor-Inputs'!$N$19 * S137)</f>
        <v>115.49499999999999</v>
      </c>
      <c r="U137" s="27">
        <f t="shared" si="8"/>
        <v>21</v>
      </c>
    </row>
    <row r="138" spans="3:21" x14ac:dyDescent="0.25">
      <c r="C138" s="2" t="s">
        <v>163</v>
      </c>
      <c r="D138" s="2">
        <v>4</v>
      </c>
      <c r="E138" s="2" t="s">
        <v>14</v>
      </c>
      <c r="F138" s="2" t="s">
        <v>162</v>
      </c>
      <c r="G138" s="3">
        <v>16.11</v>
      </c>
      <c r="H138" s="3">
        <v>15.05</v>
      </c>
      <c r="I138" s="3">
        <v>26.29</v>
      </c>
      <c r="J138" s="3">
        <v>16.829999999999998</v>
      </c>
      <c r="K138" s="3">
        <v>24.72</v>
      </c>
      <c r="L138" s="21">
        <v>21.12</v>
      </c>
      <c r="M138" s="3">
        <v>2.25</v>
      </c>
      <c r="N138" s="2" t="s">
        <v>16</v>
      </c>
      <c r="O138" s="4" t="s">
        <v>17</v>
      </c>
      <c r="P138" s="18" t="s">
        <v>18</v>
      </c>
      <c r="Q138" s="5">
        <f t="shared" si="6"/>
        <v>22.875999999999998</v>
      </c>
      <c r="R138" s="5">
        <f t="shared" si="7"/>
        <v>18.975000000000001</v>
      </c>
      <c r="S138" s="5">
        <f t="shared" si="7"/>
        <v>13.484999999999999</v>
      </c>
      <c r="T138" s="23">
        <f>('Investor-Inputs'!$G$19 * Q138) + ('Investor-Inputs'!$J$19 * R138) + ('Investor-Inputs'!$N$19 * S138)</f>
        <v>120.06299999999999</v>
      </c>
      <c r="U138" s="27">
        <f t="shared" si="8"/>
        <v>15</v>
      </c>
    </row>
    <row r="139" spans="3:21" x14ac:dyDescent="0.25">
      <c r="C139" s="2" t="s">
        <v>164</v>
      </c>
      <c r="D139" s="2">
        <v>4</v>
      </c>
      <c r="E139" s="2" t="s">
        <v>14</v>
      </c>
      <c r="F139" s="2" t="s">
        <v>162</v>
      </c>
      <c r="G139" s="3">
        <v>19.45</v>
      </c>
      <c r="H139" s="3">
        <v>20.76</v>
      </c>
      <c r="I139" s="3">
        <v>27.15</v>
      </c>
      <c r="J139" s="3">
        <v>16.399999999999999</v>
      </c>
      <c r="K139" s="3">
        <v>25.42</v>
      </c>
      <c r="L139" s="21">
        <v>21.86</v>
      </c>
      <c r="M139" s="3">
        <v>1.99</v>
      </c>
      <c r="N139" s="2" t="s">
        <v>16</v>
      </c>
      <c r="O139" s="4" t="s">
        <v>17</v>
      </c>
      <c r="P139" s="18" t="s">
        <v>18</v>
      </c>
      <c r="Q139" s="5">
        <f t="shared" si="6"/>
        <v>23.57</v>
      </c>
      <c r="R139" s="5">
        <f t="shared" si="7"/>
        <v>19.13</v>
      </c>
      <c r="S139" s="5">
        <f t="shared" si="7"/>
        <v>13.705</v>
      </c>
      <c r="T139" s="23">
        <f>('Investor-Inputs'!$G$19 * Q139) + ('Investor-Inputs'!$J$19 * R139) + ('Investor-Inputs'!$N$19 * S139)</f>
        <v>122.675</v>
      </c>
      <c r="U139" s="27">
        <f t="shared" si="8"/>
        <v>11</v>
      </c>
    </row>
    <row r="140" spans="3:21" x14ac:dyDescent="0.25">
      <c r="C140" s="2" t="s">
        <v>165</v>
      </c>
      <c r="D140" s="2">
        <v>5</v>
      </c>
      <c r="E140" s="2" t="s">
        <v>14</v>
      </c>
      <c r="F140" s="2" t="s">
        <v>162</v>
      </c>
      <c r="G140" s="3">
        <v>11.36</v>
      </c>
      <c r="H140" s="3">
        <v>8.8000000000000007</v>
      </c>
      <c r="I140" s="3">
        <v>26.12</v>
      </c>
      <c r="J140" s="3">
        <v>13.92</v>
      </c>
      <c r="K140" s="3">
        <v>24.3</v>
      </c>
      <c r="L140" s="21">
        <v>20.43</v>
      </c>
      <c r="M140" s="3">
        <v>2.04</v>
      </c>
      <c r="N140" s="2" t="s">
        <v>16</v>
      </c>
      <c r="O140" s="4" t="s">
        <v>17</v>
      </c>
      <c r="P140" s="18" t="s">
        <v>18</v>
      </c>
      <c r="Q140" s="5">
        <f t="shared" si="6"/>
        <v>22.597999999999999</v>
      </c>
      <c r="R140" s="5">
        <f t="shared" si="7"/>
        <v>17.175000000000001</v>
      </c>
      <c r="S140" s="5">
        <f t="shared" si="7"/>
        <v>13.17</v>
      </c>
      <c r="T140" s="23">
        <f>('Investor-Inputs'!$G$19 * Q140) + ('Investor-Inputs'!$J$19 * R140) + ('Investor-Inputs'!$N$19 * S140)</f>
        <v>115.31400000000001</v>
      </c>
      <c r="U140" s="27">
        <f t="shared" si="8"/>
        <v>23</v>
      </c>
    </row>
    <row r="141" spans="3:21" x14ac:dyDescent="0.25">
      <c r="C141" s="2" t="s">
        <v>166</v>
      </c>
      <c r="D141" s="2">
        <v>4</v>
      </c>
      <c r="E141" s="2" t="s">
        <v>14</v>
      </c>
      <c r="F141" s="2" t="s">
        <v>162</v>
      </c>
      <c r="G141" s="3">
        <v>6.44</v>
      </c>
      <c r="H141" s="3">
        <v>2.1800000000000002</v>
      </c>
      <c r="I141" s="3">
        <v>24.76</v>
      </c>
      <c r="J141" s="3">
        <v>10.36</v>
      </c>
      <c r="K141" s="3">
        <v>24.58</v>
      </c>
      <c r="L141" s="21">
        <v>19.350000000000001</v>
      </c>
      <c r="M141" s="3">
        <v>2.5299999999999998</v>
      </c>
      <c r="N141" s="2" t="s">
        <v>16</v>
      </c>
      <c r="O141" s="4" t="s">
        <v>17</v>
      </c>
      <c r="P141" s="18" t="s">
        <v>18</v>
      </c>
      <c r="Q141" s="5">
        <f t="shared" si="6"/>
        <v>22.194000000000003</v>
      </c>
      <c r="R141" s="5">
        <f t="shared" si="7"/>
        <v>14.855</v>
      </c>
      <c r="S141" s="5">
        <f t="shared" si="7"/>
        <v>13.555</v>
      </c>
      <c r="T141" s="23">
        <f>('Investor-Inputs'!$G$19 * Q141) + ('Investor-Inputs'!$J$19 * R141) + ('Investor-Inputs'!$N$19 * S141)</f>
        <v>109.84700000000001</v>
      </c>
      <c r="U141" s="27">
        <f t="shared" si="8"/>
        <v>29</v>
      </c>
    </row>
    <row r="142" spans="3:21" x14ac:dyDescent="0.25">
      <c r="C142" s="2" t="s">
        <v>167</v>
      </c>
      <c r="D142" s="2">
        <v>5</v>
      </c>
      <c r="E142" s="2" t="s">
        <v>14</v>
      </c>
      <c r="F142" s="2" t="s">
        <v>162</v>
      </c>
      <c r="G142" s="3">
        <v>11.11</v>
      </c>
      <c r="H142" s="3">
        <v>7.66</v>
      </c>
      <c r="I142" s="3">
        <v>23.91</v>
      </c>
      <c r="J142" s="3">
        <v>13.56</v>
      </c>
      <c r="K142" s="3">
        <v>26.64</v>
      </c>
      <c r="L142" s="21">
        <v>21.29</v>
      </c>
      <c r="M142" s="3">
        <v>2.34</v>
      </c>
      <c r="N142" s="2" t="s">
        <v>16</v>
      </c>
      <c r="O142" s="4" t="s">
        <v>17</v>
      </c>
      <c r="P142" s="18" t="s">
        <v>18</v>
      </c>
      <c r="Q142" s="5">
        <f t="shared" si="6"/>
        <v>22.884</v>
      </c>
      <c r="R142" s="5">
        <f t="shared" si="7"/>
        <v>17.425000000000001</v>
      </c>
      <c r="S142" s="5">
        <f t="shared" si="7"/>
        <v>14.49</v>
      </c>
      <c r="T142" s="23">
        <f>('Investor-Inputs'!$G$19 * Q142) + ('Investor-Inputs'!$J$19 * R142) + ('Investor-Inputs'!$N$19 * S142)</f>
        <v>117.992</v>
      </c>
      <c r="U142" s="27">
        <f t="shared" si="8"/>
        <v>19</v>
      </c>
    </row>
    <row r="143" spans="3:21" x14ac:dyDescent="0.25">
      <c r="C143" s="2" t="s">
        <v>168</v>
      </c>
      <c r="D143" s="2">
        <v>4</v>
      </c>
      <c r="E143" s="2" t="s">
        <v>14</v>
      </c>
      <c r="F143" s="2" t="s">
        <v>162</v>
      </c>
      <c r="G143" s="3">
        <v>18.920000000000002</v>
      </c>
      <c r="H143" s="3">
        <v>12.81</v>
      </c>
      <c r="I143" s="3">
        <v>28.67</v>
      </c>
      <c r="J143" s="3">
        <v>17.010000000000002</v>
      </c>
      <c r="K143" s="3">
        <v>24.94</v>
      </c>
      <c r="L143" s="21">
        <v>21.79</v>
      </c>
      <c r="M143" s="3">
        <v>2.1800000000000002</v>
      </c>
      <c r="N143" s="2" t="s">
        <v>16</v>
      </c>
      <c r="O143" s="4" t="s">
        <v>28</v>
      </c>
      <c r="P143" s="18" t="s">
        <v>18</v>
      </c>
      <c r="Q143" s="5">
        <f t="shared" si="6"/>
        <v>23.938000000000002</v>
      </c>
      <c r="R143" s="5">
        <f t="shared" si="7"/>
        <v>19.399999999999999</v>
      </c>
      <c r="S143" s="5">
        <f t="shared" si="7"/>
        <v>13.56</v>
      </c>
      <c r="T143" s="23">
        <f>('Investor-Inputs'!$G$19 * Q143) + ('Investor-Inputs'!$J$19 * R143) + ('Investor-Inputs'!$N$19 * S143)</f>
        <v>124.17400000000001</v>
      </c>
      <c r="U143" s="27">
        <f t="shared" si="8"/>
        <v>9</v>
      </c>
    </row>
    <row r="144" spans="3:21" x14ac:dyDescent="0.25">
      <c r="C144" s="2" t="s">
        <v>169</v>
      </c>
      <c r="D144" s="2">
        <v>4</v>
      </c>
      <c r="E144" s="2" t="s">
        <v>14</v>
      </c>
      <c r="F144" s="2" t="s">
        <v>170</v>
      </c>
      <c r="G144" s="3">
        <v>2.38</v>
      </c>
      <c r="H144" s="3">
        <v>2.2599999999999998</v>
      </c>
      <c r="I144" s="3">
        <v>6.72</v>
      </c>
      <c r="J144" s="3">
        <v>5.85</v>
      </c>
      <c r="K144" s="3">
        <v>5.73</v>
      </c>
      <c r="L144" s="21">
        <v>6.21</v>
      </c>
      <c r="M144" s="3">
        <v>0.95</v>
      </c>
      <c r="N144" s="2" t="s">
        <v>171</v>
      </c>
      <c r="O144" s="4" t="s">
        <v>28</v>
      </c>
      <c r="P144" s="18" t="s">
        <v>18</v>
      </c>
      <c r="Q144" s="5">
        <f t="shared" si="6"/>
        <v>5.5530000000000008</v>
      </c>
      <c r="R144" s="5">
        <f t="shared" si="7"/>
        <v>6.0299999999999994</v>
      </c>
      <c r="S144" s="5">
        <f t="shared" si="7"/>
        <v>3.3400000000000003</v>
      </c>
      <c r="T144" s="23">
        <f>('Investor-Inputs'!$G$19 * Q144) + ('Investor-Inputs'!$J$19 * R144) + ('Investor-Inputs'!$N$19 * S144)</f>
        <v>32.059000000000005</v>
      </c>
      <c r="U144" s="27">
        <f t="shared" si="8"/>
        <v>500</v>
      </c>
    </row>
    <row r="145" spans="3:21" x14ac:dyDescent="0.25">
      <c r="C145" s="2" t="s">
        <v>172</v>
      </c>
      <c r="D145" s="2">
        <v>4</v>
      </c>
      <c r="E145" s="2" t="s">
        <v>14</v>
      </c>
      <c r="F145" s="2" t="s">
        <v>170</v>
      </c>
      <c r="G145" s="3">
        <v>1.97</v>
      </c>
      <c r="H145" s="3">
        <v>1.37</v>
      </c>
      <c r="I145" s="3">
        <v>6.04</v>
      </c>
      <c r="J145" s="3">
        <v>5.32</v>
      </c>
      <c r="K145" s="3">
        <v>4.8099999999999996</v>
      </c>
      <c r="L145" s="21">
        <v>5.45</v>
      </c>
      <c r="M145" s="3">
        <v>1.24</v>
      </c>
      <c r="N145" s="2" t="s">
        <v>171</v>
      </c>
      <c r="O145" s="4" t="s">
        <v>17</v>
      </c>
      <c r="P145" s="18" t="s">
        <v>18</v>
      </c>
      <c r="Q145" s="5">
        <f t="shared" si="6"/>
        <v>4.8209999999999997</v>
      </c>
      <c r="R145" s="5">
        <f t="shared" si="7"/>
        <v>5.3849999999999998</v>
      </c>
      <c r="S145" s="5">
        <f t="shared" si="7"/>
        <v>3.0249999999999999</v>
      </c>
      <c r="T145" s="23">
        <f>('Investor-Inputs'!$G$19 * Q145) + ('Investor-Inputs'!$J$19 * R145) + ('Investor-Inputs'!$N$19 * S145)</f>
        <v>28.257999999999996</v>
      </c>
      <c r="U145" s="27">
        <f t="shared" si="8"/>
        <v>550</v>
      </c>
    </row>
    <row r="146" spans="3:21" x14ac:dyDescent="0.25">
      <c r="C146" s="2" t="s">
        <v>173</v>
      </c>
      <c r="D146" s="2">
        <v>4</v>
      </c>
      <c r="E146" s="2" t="s">
        <v>14</v>
      </c>
      <c r="F146" s="2" t="s">
        <v>170</v>
      </c>
      <c r="G146" s="3">
        <v>1.99</v>
      </c>
      <c r="H146" s="3">
        <v>1.92</v>
      </c>
      <c r="I146" s="3">
        <v>6.21</v>
      </c>
      <c r="J146" s="3">
        <v>5.53</v>
      </c>
      <c r="K146" s="3">
        <v>5.22</v>
      </c>
      <c r="L146" s="21">
        <v>5.84</v>
      </c>
      <c r="M146" s="3">
        <v>0.61</v>
      </c>
      <c r="N146" s="2" t="s">
        <v>171</v>
      </c>
      <c r="O146" s="4" t="s">
        <v>17</v>
      </c>
      <c r="P146" s="18" t="s">
        <v>18</v>
      </c>
      <c r="Q146" s="5">
        <f t="shared" si="6"/>
        <v>5.0939999999999994</v>
      </c>
      <c r="R146" s="5">
        <f t="shared" si="7"/>
        <v>5.6850000000000005</v>
      </c>
      <c r="S146" s="5">
        <f t="shared" si="7"/>
        <v>2.915</v>
      </c>
      <c r="T146" s="23">
        <f>('Investor-Inputs'!$G$19 * Q146) + ('Investor-Inputs'!$J$19 * R146) + ('Investor-Inputs'!$N$19 * S146)</f>
        <v>29.567</v>
      </c>
      <c r="U146" s="27">
        <f t="shared" si="8"/>
        <v>544</v>
      </c>
    </row>
    <row r="147" spans="3:21" x14ac:dyDescent="0.25">
      <c r="C147" s="2" t="s">
        <v>174</v>
      </c>
      <c r="D147" s="2">
        <v>4</v>
      </c>
      <c r="E147" s="2" t="s">
        <v>14</v>
      </c>
      <c r="F147" s="2" t="s">
        <v>175</v>
      </c>
      <c r="G147" s="3">
        <v>3.99</v>
      </c>
      <c r="H147" s="3">
        <v>3.07</v>
      </c>
      <c r="I147" s="3">
        <v>6.75</v>
      </c>
      <c r="J147" s="3">
        <v>6.28</v>
      </c>
      <c r="K147" s="3">
        <v>5.74</v>
      </c>
      <c r="L147" s="21">
        <v>6.3</v>
      </c>
      <c r="M147" s="3">
        <v>0.77</v>
      </c>
      <c r="N147" s="2" t="s">
        <v>171</v>
      </c>
      <c r="O147" s="4" t="s">
        <v>17</v>
      </c>
      <c r="P147" s="18" t="s">
        <v>18</v>
      </c>
      <c r="Q147" s="5">
        <f t="shared" si="6"/>
        <v>5.57</v>
      </c>
      <c r="R147" s="5">
        <f t="shared" si="7"/>
        <v>6.29</v>
      </c>
      <c r="S147" s="5">
        <f t="shared" si="7"/>
        <v>3.2549999999999999</v>
      </c>
      <c r="T147" s="23">
        <f>('Investor-Inputs'!$G$19 * Q147) + ('Investor-Inputs'!$J$19 * R147) + ('Investor-Inputs'!$N$19 * S147)</f>
        <v>32.545000000000002</v>
      </c>
      <c r="U147" s="27">
        <f t="shared" si="8"/>
        <v>486</v>
      </c>
    </row>
    <row r="148" spans="3:21" x14ac:dyDescent="0.25">
      <c r="C148" s="2" t="s">
        <v>176</v>
      </c>
      <c r="D148" s="2">
        <v>5</v>
      </c>
      <c r="E148" s="2" t="s">
        <v>14</v>
      </c>
      <c r="F148" s="2" t="s">
        <v>177</v>
      </c>
      <c r="G148" s="3">
        <v>5.31</v>
      </c>
      <c r="H148" s="3">
        <v>4.5199999999999996</v>
      </c>
      <c r="I148" s="3">
        <v>7.07</v>
      </c>
      <c r="J148" s="3">
        <v>6.88</v>
      </c>
      <c r="K148" s="3">
        <v>6.04</v>
      </c>
      <c r="L148" s="21">
        <v>6.69</v>
      </c>
      <c r="M148" s="3">
        <v>0.91</v>
      </c>
      <c r="N148" s="2" t="s">
        <v>171</v>
      </c>
      <c r="O148" s="4" t="s">
        <v>28</v>
      </c>
      <c r="P148" s="18" t="s">
        <v>18</v>
      </c>
      <c r="Q148" s="5">
        <f t="shared" si="6"/>
        <v>5.8480000000000008</v>
      </c>
      <c r="R148" s="5">
        <f t="shared" si="7"/>
        <v>6.7850000000000001</v>
      </c>
      <c r="S148" s="5">
        <f t="shared" si="7"/>
        <v>3.4750000000000001</v>
      </c>
      <c r="T148" s="23">
        <f>('Investor-Inputs'!$G$19 * Q148) + ('Investor-Inputs'!$J$19 * R148) + ('Investor-Inputs'!$N$19 * S148)</f>
        <v>34.589000000000006</v>
      </c>
      <c r="U148" s="27">
        <f t="shared" si="8"/>
        <v>407</v>
      </c>
    </row>
    <row r="149" spans="3:21" x14ac:dyDescent="0.25">
      <c r="C149" s="2" t="s">
        <v>178</v>
      </c>
      <c r="D149" s="2">
        <v>4</v>
      </c>
      <c r="E149" s="2" t="s">
        <v>14</v>
      </c>
      <c r="F149" s="2" t="s">
        <v>177</v>
      </c>
      <c r="G149" s="3">
        <v>4.97</v>
      </c>
      <c r="H149" s="3">
        <v>4.45</v>
      </c>
      <c r="I149" s="3">
        <v>6.93</v>
      </c>
      <c r="J149" s="3">
        <v>6.68</v>
      </c>
      <c r="K149" s="3">
        <v>5.75</v>
      </c>
      <c r="L149" s="21">
        <v>6.47</v>
      </c>
      <c r="M149" s="3">
        <v>0.82</v>
      </c>
      <c r="N149" s="2" t="s">
        <v>171</v>
      </c>
      <c r="O149" s="4" t="s">
        <v>17</v>
      </c>
      <c r="P149" s="18" t="s">
        <v>18</v>
      </c>
      <c r="Q149" s="5">
        <f t="shared" si="6"/>
        <v>5.6470000000000002</v>
      </c>
      <c r="R149" s="5">
        <f t="shared" si="7"/>
        <v>6.5749999999999993</v>
      </c>
      <c r="S149" s="5">
        <f t="shared" si="7"/>
        <v>3.2850000000000001</v>
      </c>
      <c r="T149" s="23">
        <f>('Investor-Inputs'!$G$19 * Q149) + ('Investor-Inputs'!$J$19 * R149) + ('Investor-Inputs'!$N$19 * S149)</f>
        <v>33.376000000000005</v>
      </c>
      <c r="U149" s="27">
        <f t="shared" si="8"/>
        <v>474</v>
      </c>
    </row>
    <row r="150" spans="3:21" x14ac:dyDescent="0.25">
      <c r="C150" s="2" t="s">
        <v>179</v>
      </c>
      <c r="D150" s="2">
        <v>5</v>
      </c>
      <c r="E150" s="2" t="s">
        <v>14</v>
      </c>
      <c r="F150" s="2" t="s">
        <v>177</v>
      </c>
      <c r="G150" s="3">
        <v>4.75</v>
      </c>
      <c r="H150" s="3">
        <v>4.09</v>
      </c>
      <c r="I150" s="3">
        <v>6.75</v>
      </c>
      <c r="J150" s="3">
        <v>6.46</v>
      </c>
      <c r="K150" s="2"/>
      <c r="L150" s="20"/>
      <c r="M150" s="3">
        <v>0.56000000000000005</v>
      </c>
      <c r="N150" s="2" t="s">
        <v>180</v>
      </c>
      <c r="O150" s="4" t="s">
        <v>28</v>
      </c>
      <c r="P150" s="18" t="s">
        <v>18</v>
      </c>
      <c r="Q150" s="5">
        <f t="shared" si="6"/>
        <v>2.7</v>
      </c>
      <c r="R150" s="5">
        <f t="shared" si="7"/>
        <v>3.23</v>
      </c>
      <c r="S150" s="5">
        <f t="shared" si="7"/>
        <v>0.28000000000000003</v>
      </c>
      <c r="T150" s="23">
        <f>('Investor-Inputs'!$G$19 * Q150) + ('Investor-Inputs'!$J$19 * R150) + ('Investor-Inputs'!$N$19 * S150)</f>
        <v>14.840000000000002</v>
      </c>
      <c r="U150" s="27">
        <f t="shared" si="8"/>
        <v>579</v>
      </c>
    </row>
    <row r="151" spans="3:21" x14ac:dyDescent="0.25">
      <c r="C151" s="2" t="s">
        <v>181</v>
      </c>
      <c r="D151" s="2">
        <v>5</v>
      </c>
      <c r="E151" s="2" t="s">
        <v>14</v>
      </c>
      <c r="F151" s="2" t="s">
        <v>177</v>
      </c>
      <c r="G151" s="3">
        <v>5.17</v>
      </c>
      <c r="H151" s="3">
        <v>4.3</v>
      </c>
      <c r="I151" s="3">
        <v>7.2</v>
      </c>
      <c r="J151" s="3">
        <v>6.8</v>
      </c>
      <c r="K151" s="3">
        <v>6.15</v>
      </c>
      <c r="L151" s="21">
        <v>6.72</v>
      </c>
      <c r="M151" s="3">
        <v>0.71</v>
      </c>
      <c r="N151" s="2" t="s">
        <v>171</v>
      </c>
      <c r="O151" s="4" t="s">
        <v>17</v>
      </c>
      <c r="P151" s="18" t="s">
        <v>18</v>
      </c>
      <c r="Q151" s="5">
        <f t="shared" si="6"/>
        <v>5.9550000000000001</v>
      </c>
      <c r="R151" s="5">
        <f t="shared" si="7"/>
        <v>6.76</v>
      </c>
      <c r="S151" s="5">
        <f t="shared" si="7"/>
        <v>3.43</v>
      </c>
      <c r="T151" s="23">
        <f>('Investor-Inputs'!$G$19 * Q151) + ('Investor-Inputs'!$J$19 * R151) + ('Investor-Inputs'!$N$19 * S151)</f>
        <v>34.815000000000005</v>
      </c>
      <c r="U151" s="27">
        <f t="shared" si="8"/>
        <v>401</v>
      </c>
    </row>
    <row r="152" spans="3:21" x14ac:dyDescent="0.25">
      <c r="C152" s="2" t="s">
        <v>182</v>
      </c>
      <c r="D152" s="2">
        <v>4</v>
      </c>
      <c r="E152" s="2" t="s">
        <v>14</v>
      </c>
      <c r="F152" s="2" t="s">
        <v>177</v>
      </c>
      <c r="G152" s="3">
        <v>4.84</v>
      </c>
      <c r="H152" s="3">
        <v>3.93</v>
      </c>
      <c r="I152" s="3">
        <v>6.73</v>
      </c>
      <c r="J152" s="3">
        <v>6.46</v>
      </c>
      <c r="K152" s="3">
        <v>5.54</v>
      </c>
      <c r="L152" s="21">
        <v>6.25</v>
      </c>
      <c r="M152" s="3">
        <v>0.74</v>
      </c>
      <c r="N152" s="2" t="s">
        <v>171</v>
      </c>
      <c r="O152" s="4" t="s">
        <v>17</v>
      </c>
      <c r="P152" s="18" t="s">
        <v>18</v>
      </c>
      <c r="Q152" s="5">
        <f t="shared" si="6"/>
        <v>5.4619999999999997</v>
      </c>
      <c r="R152" s="5">
        <f t="shared" si="7"/>
        <v>6.3550000000000004</v>
      </c>
      <c r="S152" s="5">
        <f t="shared" si="7"/>
        <v>3.14</v>
      </c>
      <c r="T152" s="23">
        <f>('Investor-Inputs'!$G$19 * Q152) + ('Investor-Inputs'!$J$19 * R152) + ('Investor-Inputs'!$N$19 * S152)</f>
        <v>32.235999999999997</v>
      </c>
      <c r="U152" s="27">
        <f t="shared" si="8"/>
        <v>496</v>
      </c>
    </row>
    <row r="153" spans="3:21" x14ac:dyDescent="0.25">
      <c r="C153" s="2" t="s">
        <v>183</v>
      </c>
      <c r="D153" s="2">
        <v>5</v>
      </c>
      <c r="E153" s="2" t="s">
        <v>14</v>
      </c>
      <c r="F153" s="2" t="s">
        <v>177</v>
      </c>
      <c r="G153" s="3">
        <v>5.47</v>
      </c>
      <c r="H153" s="3">
        <v>4.75</v>
      </c>
      <c r="I153" s="3">
        <v>7.23</v>
      </c>
      <c r="J153" s="3">
        <v>6.87</v>
      </c>
      <c r="K153" s="3">
        <v>6.37</v>
      </c>
      <c r="L153" s="21">
        <v>6.87</v>
      </c>
      <c r="M153" s="3">
        <v>1.04</v>
      </c>
      <c r="N153" s="2" t="s">
        <v>171</v>
      </c>
      <c r="O153" s="4" t="s">
        <v>17</v>
      </c>
      <c r="P153" s="18" t="s">
        <v>18</v>
      </c>
      <c r="Q153" s="5">
        <f t="shared" si="6"/>
        <v>6.077</v>
      </c>
      <c r="R153" s="5">
        <f t="shared" si="7"/>
        <v>6.87</v>
      </c>
      <c r="S153" s="5">
        <f t="shared" si="7"/>
        <v>3.7050000000000001</v>
      </c>
      <c r="T153" s="23">
        <f>('Investor-Inputs'!$G$19 * Q153) + ('Investor-Inputs'!$J$19 * R153) + ('Investor-Inputs'!$N$19 * S153)</f>
        <v>35.676000000000002</v>
      </c>
      <c r="U153" s="27">
        <f t="shared" si="8"/>
        <v>371</v>
      </c>
    </row>
    <row r="154" spans="3:21" x14ac:dyDescent="0.25">
      <c r="C154" s="2" t="s">
        <v>184</v>
      </c>
      <c r="D154" s="2">
        <v>4</v>
      </c>
      <c r="E154" s="2" t="s">
        <v>14</v>
      </c>
      <c r="F154" s="2" t="s">
        <v>177</v>
      </c>
      <c r="G154" s="3">
        <v>4.9800000000000004</v>
      </c>
      <c r="H154" s="3">
        <v>4.03</v>
      </c>
      <c r="I154" s="3">
        <v>7.01</v>
      </c>
      <c r="J154" s="3">
        <v>6.68</v>
      </c>
      <c r="K154" s="3">
        <v>5.97</v>
      </c>
      <c r="L154" s="21">
        <v>6.53</v>
      </c>
      <c r="M154" s="3">
        <v>0.94</v>
      </c>
      <c r="N154" s="2" t="s">
        <v>171</v>
      </c>
      <c r="O154" s="4" t="s">
        <v>17</v>
      </c>
      <c r="P154" s="18" t="s">
        <v>18</v>
      </c>
      <c r="Q154" s="5">
        <f t="shared" si="6"/>
        <v>5.7889999999999997</v>
      </c>
      <c r="R154" s="5">
        <f t="shared" si="7"/>
        <v>6.6050000000000004</v>
      </c>
      <c r="S154" s="5">
        <f t="shared" si="7"/>
        <v>3.4550000000000001</v>
      </c>
      <c r="T154" s="23">
        <f>('Investor-Inputs'!$G$19 * Q154) + ('Investor-Inputs'!$J$19 * R154) + ('Investor-Inputs'!$N$19 * S154)</f>
        <v>34.031999999999996</v>
      </c>
      <c r="U154" s="27">
        <f t="shared" si="8"/>
        <v>422</v>
      </c>
    </row>
    <row r="155" spans="3:21" x14ac:dyDescent="0.25">
      <c r="C155" s="2" t="s">
        <v>185</v>
      </c>
      <c r="D155" s="2">
        <v>4</v>
      </c>
      <c r="E155" s="2" t="s">
        <v>14</v>
      </c>
      <c r="F155" s="2" t="s">
        <v>177</v>
      </c>
      <c r="G155" s="3">
        <v>4.83</v>
      </c>
      <c r="H155" s="3">
        <v>3.85</v>
      </c>
      <c r="I155" s="3">
        <v>6.81</v>
      </c>
      <c r="J155" s="3">
        <v>6.48</v>
      </c>
      <c r="K155" s="3">
        <v>5.79</v>
      </c>
      <c r="L155" s="21">
        <v>6.38</v>
      </c>
      <c r="M155" s="3">
        <v>0.86</v>
      </c>
      <c r="N155" s="2" t="s">
        <v>171</v>
      </c>
      <c r="O155" s="4" t="s">
        <v>24</v>
      </c>
      <c r="P155" s="18" t="s">
        <v>18</v>
      </c>
      <c r="Q155" s="5">
        <f t="shared" si="6"/>
        <v>5.6189999999999998</v>
      </c>
      <c r="R155" s="5">
        <f t="shared" si="7"/>
        <v>6.43</v>
      </c>
      <c r="S155" s="5">
        <f t="shared" si="7"/>
        <v>3.3250000000000002</v>
      </c>
      <c r="T155" s="23">
        <f>('Investor-Inputs'!$G$19 * Q155) + ('Investor-Inputs'!$J$19 * R155) + ('Investor-Inputs'!$N$19 * S155)</f>
        <v>33.042000000000002</v>
      </c>
      <c r="U155" s="27">
        <f t="shared" si="8"/>
        <v>480</v>
      </c>
    </row>
    <row r="156" spans="3:21" x14ac:dyDescent="0.25">
      <c r="C156" s="2" t="s">
        <v>186</v>
      </c>
      <c r="D156" s="2">
        <v>4</v>
      </c>
      <c r="E156" s="2" t="s">
        <v>14</v>
      </c>
      <c r="F156" s="2" t="s">
        <v>177</v>
      </c>
      <c r="G156" s="3">
        <v>4.8</v>
      </c>
      <c r="H156" s="3">
        <v>4.1900000000000004</v>
      </c>
      <c r="I156" s="3">
        <v>6.81</v>
      </c>
      <c r="J156" s="3">
        <v>6.49</v>
      </c>
      <c r="K156" s="3">
        <v>7.2</v>
      </c>
      <c r="L156" s="21">
        <v>6.42</v>
      </c>
      <c r="M156" s="3">
        <v>0.8</v>
      </c>
      <c r="N156" s="2" t="s">
        <v>180</v>
      </c>
      <c r="O156" s="4" t="s">
        <v>17</v>
      </c>
      <c r="P156" s="18" t="s">
        <v>18</v>
      </c>
      <c r="Q156" s="5">
        <f t="shared" si="6"/>
        <v>6.3239999999999998</v>
      </c>
      <c r="R156" s="5">
        <f t="shared" si="7"/>
        <v>6.4550000000000001</v>
      </c>
      <c r="S156" s="5">
        <f t="shared" si="7"/>
        <v>4</v>
      </c>
      <c r="T156" s="23">
        <f>('Investor-Inputs'!$G$19 * Q156) + ('Investor-Inputs'!$J$19 * R156) + ('Investor-Inputs'!$N$19 * S156)</f>
        <v>35.882000000000005</v>
      </c>
      <c r="U156" s="27">
        <f t="shared" si="8"/>
        <v>355</v>
      </c>
    </row>
    <row r="157" spans="3:21" x14ac:dyDescent="0.25">
      <c r="C157" s="2" t="s">
        <v>187</v>
      </c>
      <c r="D157" s="2">
        <v>5</v>
      </c>
      <c r="E157" s="2" t="s">
        <v>14</v>
      </c>
      <c r="F157" s="2" t="s">
        <v>188</v>
      </c>
      <c r="G157" s="3">
        <v>6.17</v>
      </c>
      <c r="H157" s="3">
        <v>5.68</v>
      </c>
      <c r="I157" s="3">
        <v>7.11</v>
      </c>
      <c r="J157" s="3">
        <v>6.94</v>
      </c>
      <c r="K157" s="3">
        <v>6.13</v>
      </c>
      <c r="L157" s="21">
        <v>6.75</v>
      </c>
      <c r="M157" s="3">
        <v>0.71</v>
      </c>
      <c r="N157" s="2" t="s">
        <v>171</v>
      </c>
      <c r="O157" s="4" t="s">
        <v>28</v>
      </c>
      <c r="P157" s="18" t="s">
        <v>18</v>
      </c>
      <c r="Q157" s="5">
        <f t="shared" si="6"/>
        <v>5.9090000000000007</v>
      </c>
      <c r="R157" s="5">
        <f t="shared" si="7"/>
        <v>6.8450000000000006</v>
      </c>
      <c r="S157" s="5">
        <f t="shared" si="7"/>
        <v>3.42</v>
      </c>
      <c r="T157" s="23">
        <f>('Investor-Inputs'!$G$19 * Q157) + ('Investor-Inputs'!$J$19 * R157) + ('Investor-Inputs'!$N$19 * S157)</f>
        <v>34.837000000000003</v>
      </c>
      <c r="U157" s="27">
        <f t="shared" si="8"/>
        <v>399</v>
      </c>
    </row>
    <row r="158" spans="3:21" x14ac:dyDescent="0.25">
      <c r="C158" s="2" t="s">
        <v>189</v>
      </c>
      <c r="D158" s="2">
        <v>4</v>
      </c>
      <c r="E158" s="2" t="s">
        <v>14</v>
      </c>
      <c r="F158" s="2" t="s">
        <v>188</v>
      </c>
      <c r="G158" s="3">
        <v>5.83</v>
      </c>
      <c r="H158" s="3">
        <v>5.38</v>
      </c>
      <c r="I158" s="3">
        <v>6.84</v>
      </c>
      <c r="J158" s="3">
        <v>6.64</v>
      </c>
      <c r="K158" s="3">
        <v>5.86</v>
      </c>
      <c r="L158" s="21">
        <v>6.49</v>
      </c>
      <c r="M158" s="3">
        <v>0.67</v>
      </c>
      <c r="N158" s="2" t="s">
        <v>180</v>
      </c>
      <c r="O158" s="4" t="s">
        <v>24</v>
      </c>
      <c r="P158" s="18" t="s">
        <v>18</v>
      </c>
      <c r="Q158" s="5">
        <f t="shared" si="6"/>
        <v>5.6660000000000004</v>
      </c>
      <c r="R158" s="5">
        <f t="shared" si="7"/>
        <v>6.5649999999999995</v>
      </c>
      <c r="S158" s="5">
        <f t="shared" si="7"/>
        <v>3.2650000000000001</v>
      </c>
      <c r="T158" s="23">
        <f>('Investor-Inputs'!$G$19 * Q158) + ('Investor-Inputs'!$J$19 * R158) + ('Investor-Inputs'!$N$19 * S158)</f>
        <v>33.393000000000001</v>
      </c>
      <c r="U158" s="27">
        <f t="shared" si="8"/>
        <v>470</v>
      </c>
    </row>
    <row r="159" spans="3:21" x14ac:dyDescent="0.25">
      <c r="C159" s="2" t="s">
        <v>190</v>
      </c>
      <c r="D159" s="2">
        <v>4</v>
      </c>
      <c r="E159" s="2" t="s">
        <v>14</v>
      </c>
      <c r="F159" s="2" t="s">
        <v>188</v>
      </c>
      <c r="G159" s="3">
        <v>6.02</v>
      </c>
      <c r="H159" s="3">
        <v>5.58</v>
      </c>
      <c r="I159" s="3">
        <v>6.94</v>
      </c>
      <c r="J159" s="3">
        <v>6.74</v>
      </c>
      <c r="K159" s="3">
        <v>5.88</v>
      </c>
      <c r="L159" s="21">
        <v>6.55</v>
      </c>
      <c r="M159" s="3">
        <v>0.48</v>
      </c>
      <c r="N159" s="2" t="s">
        <v>180</v>
      </c>
      <c r="O159" s="4" t="s">
        <v>17</v>
      </c>
      <c r="P159" s="18" t="s">
        <v>18</v>
      </c>
      <c r="Q159" s="5">
        <f t="shared" si="6"/>
        <v>5.7160000000000002</v>
      </c>
      <c r="R159" s="5">
        <f t="shared" si="7"/>
        <v>6.6449999999999996</v>
      </c>
      <c r="S159" s="5">
        <f t="shared" si="7"/>
        <v>3.1799999999999997</v>
      </c>
      <c r="T159" s="23">
        <f>('Investor-Inputs'!$G$19 * Q159) + ('Investor-Inputs'!$J$19 * R159) + ('Investor-Inputs'!$N$19 * S159)</f>
        <v>33.617999999999995</v>
      </c>
      <c r="U159" s="27">
        <f t="shared" si="8"/>
        <v>460</v>
      </c>
    </row>
    <row r="160" spans="3:21" x14ac:dyDescent="0.25">
      <c r="C160" s="2" t="s">
        <v>191</v>
      </c>
      <c r="D160" s="2">
        <v>5</v>
      </c>
      <c r="E160" s="2" t="s">
        <v>14</v>
      </c>
      <c r="F160" s="2" t="s">
        <v>188</v>
      </c>
      <c r="G160" s="3">
        <v>6.42</v>
      </c>
      <c r="H160" s="3">
        <v>5.9</v>
      </c>
      <c r="I160" s="3">
        <v>7.47</v>
      </c>
      <c r="J160" s="3">
        <v>7.18</v>
      </c>
      <c r="K160" s="3">
        <v>6.48</v>
      </c>
      <c r="L160" s="21">
        <v>7.05</v>
      </c>
      <c r="M160" s="3">
        <v>0.57999999999999996</v>
      </c>
      <c r="N160" s="2" t="s">
        <v>180</v>
      </c>
      <c r="O160" s="4" t="s">
        <v>28</v>
      </c>
      <c r="P160" s="18" t="s">
        <v>18</v>
      </c>
      <c r="Q160" s="5">
        <f t="shared" si="6"/>
        <v>6.2279999999999998</v>
      </c>
      <c r="R160" s="5">
        <f t="shared" si="7"/>
        <v>7.1150000000000002</v>
      </c>
      <c r="S160" s="5">
        <f t="shared" si="7"/>
        <v>3.5300000000000002</v>
      </c>
      <c r="T160" s="23">
        <f>('Investor-Inputs'!$G$19 * Q160) + ('Investor-Inputs'!$J$19 * R160) + ('Investor-Inputs'!$N$19 * S160)</f>
        <v>36.444000000000003</v>
      </c>
      <c r="U160" s="27">
        <f t="shared" si="8"/>
        <v>347</v>
      </c>
    </row>
    <row r="161" spans="3:21" x14ac:dyDescent="0.25">
      <c r="C161" s="2" t="s">
        <v>192</v>
      </c>
      <c r="D161" s="2">
        <v>4</v>
      </c>
      <c r="E161" s="2" t="s">
        <v>14</v>
      </c>
      <c r="F161" s="2" t="s">
        <v>188</v>
      </c>
      <c r="G161" s="3">
        <v>5.95</v>
      </c>
      <c r="H161" s="3">
        <v>5.48</v>
      </c>
      <c r="I161" s="3">
        <v>6.94</v>
      </c>
      <c r="J161" s="3">
        <v>6.73</v>
      </c>
      <c r="K161" s="3">
        <v>5.88</v>
      </c>
      <c r="L161" s="21">
        <v>6.54</v>
      </c>
      <c r="M161" s="3">
        <v>0.74</v>
      </c>
      <c r="N161" s="2" t="s">
        <v>180</v>
      </c>
      <c r="O161" s="4" t="s">
        <v>17</v>
      </c>
      <c r="P161" s="18" t="s">
        <v>18</v>
      </c>
      <c r="Q161" s="5">
        <f t="shared" si="6"/>
        <v>5.7160000000000002</v>
      </c>
      <c r="R161" s="5">
        <f t="shared" si="7"/>
        <v>6.6349999999999998</v>
      </c>
      <c r="S161" s="5">
        <f t="shared" si="7"/>
        <v>3.31</v>
      </c>
      <c r="T161" s="23">
        <f>('Investor-Inputs'!$G$19 * Q161) + ('Investor-Inputs'!$J$19 * R161) + ('Investor-Inputs'!$N$19 * S161)</f>
        <v>33.728000000000002</v>
      </c>
      <c r="U161" s="27">
        <f t="shared" si="8"/>
        <v>452</v>
      </c>
    </row>
    <row r="162" spans="3:21" x14ac:dyDescent="0.25">
      <c r="C162" s="2" t="s">
        <v>193</v>
      </c>
      <c r="D162" s="2">
        <v>4</v>
      </c>
      <c r="E162" s="2" t="s">
        <v>14</v>
      </c>
      <c r="F162" s="2" t="s">
        <v>188</v>
      </c>
      <c r="G162" s="3">
        <v>5.89</v>
      </c>
      <c r="H162" s="3">
        <v>5.48</v>
      </c>
      <c r="I162" s="3">
        <v>6.88</v>
      </c>
      <c r="J162" s="3">
        <v>6.69</v>
      </c>
      <c r="K162" s="3">
        <v>5.91</v>
      </c>
      <c r="L162" s="21">
        <v>6.52</v>
      </c>
      <c r="M162" s="3">
        <v>0.6</v>
      </c>
      <c r="N162" s="2" t="s">
        <v>180</v>
      </c>
      <c r="O162" s="4" t="s">
        <v>17</v>
      </c>
      <c r="P162" s="18" t="s">
        <v>18</v>
      </c>
      <c r="Q162" s="5">
        <f t="shared" si="6"/>
        <v>5.7070000000000007</v>
      </c>
      <c r="R162" s="5">
        <f t="shared" si="7"/>
        <v>6.6050000000000004</v>
      </c>
      <c r="S162" s="5">
        <f t="shared" si="7"/>
        <v>3.2549999999999999</v>
      </c>
      <c r="T162" s="23">
        <f>('Investor-Inputs'!$G$19 * Q162) + ('Investor-Inputs'!$J$19 * R162) + ('Investor-Inputs'!$N$19 * S162)</f>
        <v>33.586000000000006</v>
      </c>
      <c r="U162" s="27">
        <f t="shared" si="8"/>
        <v>462</v>
      </c>
    </row>
    <row r="163" spans="3:21" x14ac:dyDescent="0.25">
      <c r="C163" s="2" t="s">
        <v>194</v>
      </c>
      <c r="D163" s="2">
        <v>4</v>
      </c>
      <c r="E163" s="2" t="s">
        <v>14</v>
      </c>
      <c r="F163" s="2" t="s">
        <v>188</v>
      </c>
      <c r="G163" s="3">
        <v>6.21</v>
      </c>
      <c r="H163" s="3">
        <v>5.75</v>
      </c>
      <c r="I163" s="3">
        <v>7.17</v>
      </c>
      <c r="J163" s="3">
        <v>6.99</v>
      </c>
      <c r="K163" s="3">
        <v>7.24</v>
      </c>
      <c r="L163" s="21">
        <v>7</v>
      </c>
      <c r="M163" s="3">
        <v>0.42</v>
      </c>
      <c r="N163" s="2" t="s">
        <v>171</v>
      </c>
      <c r="O163" s="4" t="s">
        <v>17</v>
      </c>
      <c r="P163" s="18" t="s">
        <v>18</v>
      </c>
      <c r="Q163" s="5">
        <f t="shared" si="6"/>
        <v>6.4880000000000004</v>
      </c>
      <c r="R163" s="5">
        <f t="shared" si="7"/>
        <v>6.9950000000000001</v>
      </c>
      <c r="S163" s="5">
        <f t="shared" si="7"/>
        <v>3.83</v>
      </c>
      <c r="T163" s="23">
        <f>('Investor-Inputs'!$G$19 * Q163) + ('Investor-Inputs'!$J$19 * R163) + ('Investor-Inputs'!$N$19 * S163)</f>
        <v>37.283999999999999</v>
      </c>
      <c r="U163" s="27">
        <f t="shared" si="8"/>
        <v>337</v>
      </c>
    </row>
    <row r="164" spans="3:21" x14ac:dyDescent="0.25">
      <c r="C164" s="2" t="s">
        <v>195</v>
      </c>
      <c r="D164" s="2">
        <v>4</v>
      </c>
      <c r="E164" s="2" t="s">
        <v>14</v>
      </c>
      <c r="F164" s="2" t="s">
        <v>196</v>
      </c>
      <c r="G164" s="3">
        <v>6.45</v>
      </c>
      <c r="H164" s="3">
        <v>6.11</v>
      </c>
      <c r="I164" s="3">
        <v>7.29</v>
      </c>
      <c r="J164" s="3">
        <v>7.1</v>
      </c>
      <c r="K164" s="3">
        <v>6.32</v>
      </c>
      <c r="L164" s="21">
        <v>6.92</v>
      </c>
      <c r="M164" s="3">
        <v>0.57999999999999996</v>
      </c>
      <c r="N164" s="2" t="s">
        <v>171</v>
      </c>
      <c r="O164" s="4" t="s">
        <v>28</v>
      </c>
      <c r="P164" s="18" t="s">
        <v>18</v>
      </c>
      <c r="Q164" s="5">
        <f t="shared" si="6"/>
        <v>6.0760000000000005</v>
      </c>
      <c r="R164" s="5">
        <f t="shared" si="7"/>
        <v>7.01</v>
      </c>
      <c r="S164" s="5">
        <f t="shared" si="7"/>
        <v>3.45</v>
      </c>
      <c r="T164" s="23">
        <f>('Investor-Inputs'!$G$19 * Q164) + ('Investor-Inputs'!$J$19 * R164) + ('Investor-Inputs'!$N$19 * S164)</f>
        <v>35.698000000000008</v>
      </c>
      <c r="U164" s="27">
        <f t="shared" si="8"/>
        <v>365</v>
      </c>
    </row>
    <row r="165" spans="3:21" x14ac:dyDescent="0.25">
      <c r="C165" s="2" t="s">
        <v>197</v>
      </c>
      <c r="D165" s="2">
        <v>4</v>
      </c>
      <c r="E165" s="2" t="s">
        <v>14</v>
      </c>
      <c r="F165" s="2" t="s">
        <v>196</v>
      </c>
      <c r="G165" s="3">
        <v>6.23</v>
      </c>
      <c r="H165" s="3">
        <v>6.07</v>
      </c>
      <c r="I165" s="3">
        <v>6.97</v>
      </c>
      <c r="J165" s="3">
        <v>6.8</v>
      </c>
      <c r="K165" s="3">
        <v>5.98</v>
      </c>
      <c r="L165" s="21">
        <v>6.62</v>
      </c>
      <c r="M165" s="3">
        <v>0.47</v>
      </c>
      <c r="N165" s="2" t="s">
        <v>180</v>
      </c>
      <c r="O165" s="4" t="s">
        <v>17</v>
      </c>
      <c r="P165" s="18" t="s">
        <v>18</v>
      </c>
      <c r="Q165" s="5">
        <f t="shared" si="6"/>
        <v>5.7780000000000005</v>
      </c>
      <c r="R165" s="5">
        <f t="shared" si="7"/>
        <v>6.71</v>
      </c>
      <c r="S165" s="5">
        <f t="shared" si="7"/>
        <v>3.2250000000000001</v>
      </c>
      <c r="T165" s="23">
        <f>('Investor-Inputs'!$G$19 * Q165) + ('Investor-Inputs'!$J$19 * R165) + ('Investor-Inputs'!$N$19 * S165)</f>
        <v>33.979000000000006</v>
      </c>
      <c r="U165" s="27">
        <f t="shared" si="8"/>
        <v>430</v>
      </c>
    </row>
    <row r="166" spans="3:21" x14ac:dyDescent="0.25">
      <c r="C166" s="2" t="s">
        <v>198</v>
      </c>
      <c r="D166" s="2">
        <v>5</v>
      </c>
      <c r="E166" s="2" t="s">
        <v>14</v>
      </c>
      <c r="F166" s="2" t="s">
        <v>196</v>
      </c>
      <c r="G166" s="3">
        <v>6.3</v>
      </c>
      <c r="H166" s="3">
        <v>6.13</v>
      </c>
      <c r="I166" s="3">
        <v>7.06</v>
      </c>
      <c r="J166" s="3">
        <v>6.87</v>
      </c>
      <c r="K166" s="3">
        <v>6.19</v>
      </c>
      <c r="L166" s="21">
        <v>6.76</v>
      </c>
      <c r="M166" s="3">
        <v>0.43</v>
      </c>
      <c r="N166" s="2" t="s">
        <v>180</v>
      </c>
      <c r="O166" s="4" t="s">
        <v>17</v>
      </c>
      <c r="P166" s="18" t="s">
        <v>18</v>
      </c>
      <c r="Q166" s="5">
        <f t="shared" si="6"/>
        <v>5.9190000000000005</v>
      </c>
      <c r="R166" s="5">
        <f t="shared" si="7"/>
        <v>6.8149999999999995</v>
      </c>
      <c r="S166" s="5">
        <f t="shared" si="7"/>
        <v>3.31</v>
      </c>
      <c r="T166" s="23">
        <f>('Investor-Inputs'!$G$19 * Q166) + ('Investor-Inputs'!$J$19 * R166) + ('Investor-Inputs'!$N$19 * S166)</f>
        <v>34.697000000000003</v>
      </c>
      <c r="U166" s="27">
        <f t="shared" si="8"/>
        <v>405</v>
      </c>
    </row>
    <row r="167" spans="3:21" x14ac:dyDescent="0.25">
      <c r="C167" s="2" t="s">
        <v>199</v>
      </c>
      <c r="D167" s="2">
        <v>4</v>
      </c>
      <c r="E167" s="2" t="s">
        <v>14</v>
      </c>
      <c r="F167" s="2" t="s">
        <v>196</v>
      </c>
      <c r="G167" s="3">
        <v>6.28</v>
      </c>
      <c r="H167" s="3">
        <v>6.14</v>
      </c>
      <c r="I167" s="3">
        <v>6.99</v>
      </c>
      <c r="J167" s="3">
        <v>6.84</v>
      </c>
      <c r="K167" s="3">
        <v>6.02</v>
      </c>
      <c r="L167" s="21">
        <v>6.66</v>
      </c>
      <c r="M167" s="3">
        <v>0.42</v>
      </c>
      <c r="N167" s="2" t="s">
        <v>180</v>
      </c>
      <c r="O167" s="4" t="s">
        <v>17</v>
      </c>
      <c r="P167" s="18" t="s">
        <v>18</v>
      </c>
      <c r="Q167" s="5">
        <f t="shared" si="6"/>
        <v>5.806</v>
      </c>
      <c r="R167" s="5">
        <f t="shared" si="7"/>
        <v>6.75</v>
      </c>
      <c r="S167" s="5">
        <f t="shared" si="7"/>
        <v>3.2199999999999998</v>
      </c>
      <c r="T167" s="23">
        <f>('Investor-Inputs'!$G$19 * Q167) + ('Investor-Inputs'!$J$19 * R167) + ('Investor-Inputs'!$N$19 * S167)</f>
        <v>34.137999999999998</v>
      </c>
      <c r="U167" s="27">
        <f t="shared" si="8"/>
        <v>418</v>
      </c>
    </row>
    <row r="168" spans="3:21" x14ac:dyDescent="0.25">
      <c r="C168" s="2" t="s">
        <v>200</v>
      </c>
      <c r="D168" s="2">
        <v>4</v>
      </c>
      <c r="E168" s="2" t="s">
        <v>14</v>
      </c>
      <c r="F168" s="2" t="s">
        <v>196</v>
      </c>
      <c r="G168" s="3">
        <v>6.33</v>
      </c>
      <c r="H168" s="3">
        <v>6.04</v>
      </c>
      <c r="I168" s="3">
        <v>7</v>
      </c>
      <c r="J168" s="3">
        <v>6.85</v>
      </c>
      <c r="K168" s="3">
        <v>6.1</v>
      </c>
      <c r="L168" s="21">
        <v>6.67</v>
      </c>
      <c r="M168" s="3">
        <v>0.77</v>
      </c>
      <c r="N168" s="2" t="s">
        <v>171</v>
      </c>
      <c r="O168" s="4" t="s">
        <v>17</v>
      </c>
      <c r="P168" s="18" t="s">
        <v>18</v>
      </c>
      <c r="Q168" s="5">
        <f t="shared" si="6"/>
        <v>5.85</v>
      </c>
      <c r="R168" s="5">
        <f t="shared" si="7"/>
        <v>6.76</v>
      </c>
      <c r="S168" s="5">
        <f t="shared" si="7"/>
        <v>3.4349999999999996</v>
      </c>
      <c r="T168" s="23">
        <f>('Investor-Inputs'!$G$19 * Q168) + ('Investor-Inputs'!$J$19 * R168) + ('Investor-Inputs'!$N$19 * S168)</f>
        <v>34.504999999999995</v>
      </c>
      <c r="U168" s="27">
        <f t="shared" si="8"/>
        <v>409</v>
      </c>
    </row>
    <row r="169" spans="3:21" x14ac:dyDescent="0.25">
      <c r="C169" s="2" t="s">
        <v>201</v>
      </c>
      <c r="D169" s="2">
        <v>4</v>
      </c>
      <c r="E169" s="2" t="s">
        <v>14</v>
      </c>
      <c r="F169" s="2" t="s">
        <v>196</v>
      </c>
      <c r="G169" s="3">
        <v>6.06</v>
      </c>
      <c r="H169" s="3">
        <v>5.91</v>
      </c>
      <c r="I169" s="3">
        <v>6.85</v>
      </c>
      <c r="J169" s="3">
        <v>6.7</v>
      </c>
      <c r="K169" s="3">
        <v>5.78</v>
      </c>
      <c r="L169" s="21">
        <v>6.47</v>
      </c>
      <c r="M169" s="3">
        <v>0.83</v>
      </c>
      <c r="N169" s="2" t="s">
        <v>171</v>
      </c>
      <c r="O169" s="4" t="s">
        <v>24</v>
      </c>
      <c r="P169" s="18" t="s">
        <v>18</v>
      </c>
      <c r="Q169" s="5">
        <f t="shared" si="6"/>
        <v>5.6300000000000008</v>
      </c>
      <c r="R169" s="5">
        <f t="shared" si="7"/>
        <v>6.585</v>
      </c>
      <c r="S169" s="5">
        <f t="shared" si="7"/>
        <v>3.3050000000000002</v>
      </c>
      <c r="T169" s="23">
        <f>('Investor-Inputs'!$G$19 * Q169) + ('Investor-Inputs'!$J$19 * R169) + ('Investor-Inputs'!$N$19 * S169)</f>
        <v>33.365000000000002</v>
      </c>
      <c r="U169" s="27">
        <f t="shared" si="8"/>
        <v>476</v>
      </c>
    </row>
    <row r="170" spans="3:21" x14ac:dyDescent="0.25">
      <c r="C170" s="2" t="s">
        <v>202</v>
      </c>
      <c r="D170" s="2">
        <v>5</v>
      </c>
      <c r="E170" s="2" t="s">
        <v>14</v>
      </c>
      <c r="F170" s="2" t="s">
        <v>196</v>
      </c>
      <c r="G170" s="3">
        <v>6.36</v>
      </c>
      <c r="H170" s="3">
        <v>6.13</v>
      </c>
      <c r="I170" s="3">
        <v>7.16</v>
      </c>
      <c r="J170" s="3">
        <v>6.97</v>
      </c>
      <c r="K170" s="3">
        <v>6.17</v>
      </c>
      <c r="L170" s="21">
        <v>6.79</v>
      </c>
      <c r="M170" s="3">
        <v>0.51</v>
      </c>
      <c r="N170" s="2" t="s">
        <v>180</v>
      </c>
      <c r="O170" s="4" t="s">
        <v>28</v>
      </c>
      <c r="P170" s="18" t="s">
        <v>18</v>
      </c>
      <c r="Q170" s="5">
        <f t="shared" si="6"/>
        <v>5.9489999999999998</v>
      </c>
      <c r="R170" s="5">
        <f t="shared" si="7"/>
        <v>6.88</v>
      </c>
      <c r="S170" s="5">
        <f t="shared" si="7"/>
        <v>3.34</v>
      </c>
      <c r="T170" s="23">
        <f>('Investor-Inputs'!$G$19 * Q170) + ('Investor-Inputs'!$J$19 * R170) + ('Investor-Inputs'!$N$19 * S170)</f>
        <v>34.947000000000003</v>
      </c>
      <c r="U170" s="27">
        <f t="shared" si="8"/>
        <v>395</v>
      </c>
    </row>
    <row r="171" spans="3:21" x14ac:dyDescent="0.25">
      <c r="C171" s="2" t="s">
        <v>203</v>
      </c>
      <c r="D171" s="2">
        <v>5</v>
      </c>
      <c r="E171" s="2" t="s">
        <v>14</v>
      </c>
      <c r="F171" s="2" t="s">
        <v>196</v>
      </c>
      <c r="G171" s="3">
        <v>6.19</v>
      </c>
      <c r="H171" s="3">
        <v>5.97</v>
      </c>
      <c r="I171" s="3">
        <v>6.96</v>
      </c>
      <c r="J171" s="3">
        <v>6.78</v>
      </c>
      <c r="K171" s="3">
        <v>5.98</v>
      </c>
      <c r="L171" s="21">
        <v>6.61</v>
      </c>
      <c r="M171" s="3">
        <v>0.56000000000000005</v>
      </c>
      <c r="N171" s="2" t="s">
        <v>171</v>
      </c>
      <c r="O171" s="4" t="s">
        <v>17</v>
      </c>
      <c r="P171" s="18" t="s">
        <v>18</v>
      </c>
      <c r="Q171" s="5">
        <f t="shared" si="6"/>
        <v>5.7740000000000009</v>
      </c>
      <c r="R171" s="5">
        <f t="shared" si="7"/>
        <v>6.6950000000000003</v>
      </c>
      <c r="S171" s="5">
        <f t="shared" si="7"/>
        <v>3.2700000000000005</v>
      </c>
      <c r="T171" s="23">
        <f>('Investor-Inputs'!$G$19 * Q171) + ('Investor-Inputs'!$J$19 * R171) + ('Investor-Inputs'!$N$19 * S171)</f>
        <v>33.982000000000006</v>
      </c>
      <c r="U171" s="27">
        <f t="shared" si="8"/>
        <v>428</v>
      </c>
    </row>
    <row r="172" spans="3:21" x14ac:dyDescent="0.25">
      <c r="C172" s="2" t="s">
        <v>204</v>
      </c>
      <c r="D172" s="2">
        <v>4</v>
      </c>
      <c r="E172" s="2" t="s">
        <v>14</v>
      </c>
      <c r="F172" s="2" t="s">
        <v>205</v>
      </c>
      <c r="G172" s="3">
        <v>6.22</v>
      </c>
      <c r="H172" s="3">
        <v>6.35</v>
      </c>
      <c r="I172" s="3">
        <v>6.91</v>
      </c>
      <c r="J172" s="3">
        <v>6.74</v>
      </c>
      <c r="K172" s="3">
        <v>6.02</v>
      </c>
      <c r="L172" s="21">
        <v>6.6</v>
      </c>
      <c r="M172" s="3">
        <v>0.35</v>
      </c>
      <c r="N172" s="2" t="s">
        <v>171</v>
      </c>
      <c r="O172" s="4" t="s">
        <v>17</v>
      </c>
      <c r="P172" s="18" t="s">
        <v>18</v>
      </c>
      <c r="Q172" s="5">
        <f t="shared" si="6"/>
        <v>5.774</v>
      </c>
      <c r="R172" s="5">
        <f t="shared" si="7"/>
        <v>6.67</v>
      </c>
      <c r="S172" s="5">
        <f t="shared" si="7"/>
        <v>3.1849999999999996</v>
      </c>
      <c r="T172" s="23">
        <f>('Investor-Inputs'!$G$19 * Q172) + ('Investor-Inputs'!$J$19 * R172) + ('Investor-Inputs'!$N$19 * S172)</f>
        <v>33.847000000000001</v>
      </c>
      <c r="U172" s="27">
        <f t="shared" si="8"/>
        <v>442</v>
      </c>
    </row>
    <row r="173" spans="3:21" x14ac:dyDescent="0.25">
      <c r="C173" s="2" t="s">
        <v>206</v>
      </c>
      <c r="D173" s="2">
        <v>4</v>
      </c>
      <c r="E173" s="2" t="s">
        <v>14</v>
      </c>
      <c r="F173" s="2" t="s">
        <v>205</v>
      </c>
      <c r="G173" s="3">
        <v>6.26</v>
      </c>
      <c r="H173" s="3">
        <v>6.39</v>
      </c>
      <c r="I173" s="3">
        <v>6.95</v>
      </c>
      <c r="J173" s="3">
        <v>6.78</v>
      </c>
      <c r="K173" s="3">
        <v>6.05</v>
      </c>
      <c r="L173" s="21">
        <v>6.64</v>
      </c>
      <c r="M173" s="3">
        <v>0.21</v>
      </c>
      <c r="N173" s="2" t="s">
        <v>171</v>
      </c>
      <c r="O173" s="4" t="s">
        <v>17</v>
      </c>
      <c r="P173" s="18" t="s">
        <v>18</v>
      </c>
      <c r="Q173" s="5">
        <f t="shared" si="6"/>
        <v>5.8049999999999997</v>
      </c>
      <c r="R173" s="5">
        <f t="shared" si="7"/>
        <v>6.71</v>
      </c>
      <c r="S173" s="5">
        <f t="shared" si="7"/>
        <v>3.13</v>
      </c>
      <c r="T173" s="23">
        <f>('Investor-Inputs'!$G$19 * Q173) + ('Investor-Inputs'!$J$19 * R173) + ('Investor-Inputs'!$N$19 * S173)</f>
        <v>33.965000000000003</v>
      </c>
      <c r="U173" s="27">
        <f t="shared" si="8"/>
        <v>432</v>
      </c>
    </row>
    <row r="174" spans="3:21" x14ac:dyDescent="0.25">
      <c r="C174" s="2" t="s">
        <v>207</v>
      </c>
      <c r="D174" s="2">
        <v>5</v>
      </c>
      <c r="E174" s="2" t="s">
        <v>14</v>
      </c>
      <c r="F174" s="2" t="s">
        <v>205</v>
      </c>
      <c r="G174" s="3">
        <v>6.26</v>
      </c>
      <c r="H174" s="3">
        <v>6.36</v>
      </c>
      <c r="I174" s="3">
        <v>6.98</v>
      </c>
      <c r="J174" s="3">
        <v>6.79</v>
      </c>
      <c r="K174" s="3">
        <v>6.06</v>
      </c>
      <c r="L174" s="21">
        <v>6.65</v>
      </c>
      <c r="M174" s="3">
        <v>0.14000000000000001</v>
      </c>
      <c r="N174" s="2" t="s">
        <v>180</v>
      </c>
      <c r="O174" s="4" t="s">
        <v>28</v>
      </c>
      <c r="P174" s="18" t="s">
        <v>18</v>
      </c>
      <c r="Q174" s="5">
        <f t="shared" si="6"/>
        <v>5.8220000000000001</v>
      </c>
      <c r="R174" s="5">
        <f t="shared" si="7"/>
        <v>6.7200000000000006</v>
      </c>
      <c r="S174" s="5">
        <f t="shared" si="7"/>
        <v>3.0999999999999996</v>
      </c>
      <c r="T174" s="23">
        <f>('Investor-Inputs'!$G$19 * Q174) + ('Investor-Inputs'!$J$19 * R174) + ('Investor-Inputs'!$N$19 * S174)</f>
        <v>34.006</v>
      </c>
      <c r="U174" s="27">
        <f t="shared" si="8"/>
        <v>424</v>
      </c>
    </row>
    <row r="175" spans="3:21" x14ac:dyDescent="0.25">
      <c r="C175" s="2" t="s">
        <v>208</v>
      </c>
      <c r="D175" s="2">
        <v>4</v>
      </c>
      <c r="E175" s="2" t="s">
        <v>14</v>
      </c>
      <c r="F175" s="2" t="s">
        <v>205</v>
      </c>
      <c r="G175" s="3">
        <v>6.24</v>
      </c>
      <c r="H175" s="3">
        <v>6.37</v>
      </c>
      <c r="I175" s="3">
        <v>6.92</v>
      </c>
      <c r="J175" s="3">
        <v>6.76</v>
      </c>
      <c r="K175" s="3">
        <v>6</v>
      </c>
      <c r="L175" s="21">
        <v>6.6</v>
      </c>
      <c r="M175" s="3">
        <v>0.21</v>
      </c>
      <c r="N175" s="2" t="s">
        <v>180</v>
      </c>
      <c r="O175" s="4" t="s">
        <v>17</v>
      </c>
      <c r="P175" s="18" t="s">
        <v>18</v>
      </c>
      <c r="Q175" s="5">
        <f t="shared" si="6"/>
        <v>5.7680000000000007</v>
      </c>
      <c r="R175" s="5">
        <f t="shared" si="7"/>
        <v>6.68</v>
      </c>
      <c r="S175" s="5">
        <f t="shared" si="7"/>
        <v>3.105</v>
      </c>
      <c r="T175" s="23">
        <f>('Investor-Inputs'!$G$19 * Q175) + ('Investor-Inputs'!$J$19 * R175) + ('Investor-Inputs'!$N$19 * S175)</f>
        <v>33.768999999999998</v>
      </c>
      <c r="U175" s="27">
        <f t="shared" si="8"/>
        <v>450</v>
      </c>
    </row>
    <row r="176" spans="3:21" x14ac:dyDescent="0.25">
      <c r="C176" s="2" t="s">
        <v>209</v>
      </c>
      <c r="D176" s="2">
        <v>5</v>
      </c>
      <c r="E176" s="2" t="s">
        <v>14</v>
      </c>
      <c r="F176" s="2" t="s">
        <v>205</v>
      </c>
      <c r="G176" s="3">
        <v>6.26</v>
      </c>
      <c r="H176" s="3">
        <v>6.37</v>
      </c>
      <c r="I176" s="3">
        <v>6.89</v>
      </c>
      <c r="J176" s="3">
        <v>6.75</v>
      </c>
      <c r="K176" s="3">
        <v>5.94</v>
      </c>
      <c r="L176" s="21">
        <v>6.56</v>
      </c>
      <c r="M176" s="3">
        <v>0.19</v>
      </c>
      <c r="N176" s="2" t="s">
        <v>180</v>
      </c>
      <c r="O176" s="4" t="s">
        <v>28</v>
      </c>
      <c r="P176" s="18" t="s">
        <v>18</v>
      </c>
      <c r="Q176" s="5">
        <f t="shared" si="6"/>
        <v>5.7260000000000009</v>
      </c>
      <c r="R176" s="5">
        <f t="shared" si="7"/>
        <v>6.6549999999999994</v>
      </c>
      <c r="S176" s="5">
        <f t="shared" si="7"/>
        <v>3.0650000000000004</v>
      </c>
      <c r="T176" s="23">
        <f>('Investor-Inputs'!$G$19 * Q176) + ('Investor-Inputs'!$J$19 * R176) + ('Investor-Inputs'!$N$19 * S176)</f>
        <v>33.553000000000004</v>
      </c>
      <c r="U176" s="27">
        <f t="shared" si="8"/>
        <v>466</v>
      </c>
    </row>
    <row r="177" spans="3:21" x14ac:dyDescent="0.25">
      <c r="C177" s="2" t="s">
        <v>210</v>
      </c>
      <c r="D177" s="2">
        <v>4</v>
      </c>
      <c r="E177" s="2" t="s">
        <v>14</v>
      </c>
      <c r="F177" s="2" t="s">
        <v>205</v>
      </c>
      <c r="G177" s="3">
        <v>6.24</v>
      </c>
      <c r="H177" s="3">
        <v>6.32</v>
      </c>
      <c r="I177" s="3">
        <v>6.94</v>
      </c>
      <c r="J177" s="3">
        <v>6.77</v>
      </c>
      <c r="K177" s="3">
        <v>6.02</v>
      </c>
      <c r="L177" s="21">
        <v>6.62</v>
      </c>
      <c r="M177" s="3">
        <v>0.2</v>
      </c>
      <c r="N177" s="2" t="s">
        <v>180</v>
      </c>
      <c r="O177" s="4" t="s">
        <v>28</v>
      </c>
      <c r="P177" s="18" t="s">
        <v>18</v>
      </c>
      <c r="Q177" s="5">
        <f t="shared" si="6"/>
        <v>5.7859999999999996</v>
      </c>
      <c r="R177" s="5">
        <f t="shared" si="7"/>
        <v>6.6950000000000003</v>
      </c>
      <c r="S177" s="5">
        <f t="shared" si="7"/>
        <v>3.11</v>
      </c>
      <c r="T177" s="23">
        <f>('Investor-Inputs'!$G$19 * Q177) + ('Investor-Inputs'!$J$19 * R177) + ('Investor-Inputs'!$N$19 * S177)</f>
        <v>33.857999999999997</v>
      </c>
      <c r="U177" s="27">
        <f t="shared" si="8"/>
        <v>440</v>
      </c>
    </row>
    <row r="178" spans="3:21" x14ac:dyDescent="0.25">
      <c r="C178" s="2" t="s">
        <v>211</v>
      </c>
      <c r="D178" s="2">
        <v>4</v>
      </c>
      <c r="E178" s="2" t="s">
        <v>14</v>
      </c>
      <c r="F178" s="2" t="s">
        <v>205</v>
      </c>
      <c r="G178" s="3">
        <v>6.2</v>
      </c>
      <c r="H178" s="3">
        <v>6.3</v>
      </c>
      <c r="I178" s="3">
        <v>6.89</v>
      </c>
      <c r="J178" s="3">
        <v>6.74</v>
      </c>
      <c r="K178" s="3">
        <v>5.87</v>
      </c>
      <c r="L178" s="21">
        <v>6.53</v>
      </c>
      <c r="M178" s="3">
        <v>0.2</v>
      </c>
      <c r="N178" s="2" t="s">
        <v>180</v>
      </c>
      <c r="O178" s="4" t="s">
        <v>17</v>
      </c>
      <c r="P178" s="18" t="s">
        <v>18</v>
      </c>
      <c r="Q178" s="5">
        <f t="shared" si="6"/>
        <v>5.6910000000000007</v>
      </c>
      <c r="R178" s="5">
        <f t="shared" si="7"/>
        <v>6.6349999999999998</v>
      </c>
      <c r="S178" s="5">
        <f t="shared" si="7"/>
        <v>3.0350000000000001</v>
      </c>
      <c r="T178" s="23">
        <f>('Investor-Inputs'!$G$19 * Q178) + ('Investor-Inputs'!$J$19 * R178) + ('Investor-Inputs'!$N$19 * S178)</f>
        <v>33.378</v>
      </c>
      <c r="U178" s="27">
        <f t="shared" si="8"/>
        <v>472</v>
      </c>
    </row>
    <row r="179" spans="3:21" x14ac:dyDescent="0.25">
      <c r="C179" s="2" t="s">
        <v>212</v>
      </c>
      <c r="D179" s="2">
        <v>5</v>
      </c>
      <c r="E179" s="2" t="s">
        <v>14</v>
      </c>
      <c r="F179" s="2" t="s">
        <v>205</v>
      </c>
      <c r="G179" s="3">
        <v>6.22</v>
      </c>
      <c r="H179" s="3">
        <v>6.33</v>
      </c>
      <c r="I179" s="3">
        <v>6.92</v>
      </c>
      <c r="J179" s="3">
        <v>6.74</v>
      </c>
      <c r="K179" s="3">
        <v>6.01</v>
      </c>
      <c r="L179" s="21">
        <v>6.59</v>
      </c>
      <c r="M179" s="3">
        <v>0.24</v>
      </c>
      <c r="N179" s="2" t="s">
        <v>180</v>
      </c>
      <c r="O179" s="4" t="s">
        <v>28</v>
      </c>
      <c r="P179" s="18" t="s">
        <v>18</v>
      </c>
      <c r="Q179" s="5">
        <f t="shared" si="6"/>
        <v>5.7729999999999997</v>
      </c>
      <c r="R179" s="5">
        <f t="shared" si="7"/>
        <v>6.665</v>
      </c>
      <c r="S179" s="5">
        <f t="shared" si="7"/>
        <v>3.125</v>
      </c>
      <c r="T179" s="23">
        <f>('Investor-Inputs'!$G$19 * Q179) + ('Investor-Inputs'!$J$19 * R179) + ('Investor-Inputs'!$N$19 * S179)</f>
        <v>33.774000000000001</v>
      </c>
      <c r="U179" s="27">
        <f t="shared" si="8"/>
        <v>446</v>
      </c>
    </row>
    <row r="180" spans="3:21" x14ac:dyDescent="0.25">
      <c r="C180" s="2" t="s">
        <v>213</v>
      </c>
      <c r="D180" s="2">
        <v>4</v>
      </c>
      <c r="E180" s="2" t="s">
        <v>14</v>
      </c>
      <c r="F180" s="2" t="s">
        <v>205</v>
      </c>
      <c r="G180" s="3">
        <v>6.21</v>
      </c>
      <c r="H180" s="3">
        <v>6.32</v>
      </c>
      <c r="I180" s="3">
        <v>6.91</v>
      </c>
      <c r="J180" s="3">
        <v>6.73</v>
      </c>
      <c r="K180" s="3">
        <v>6.02</v>
      </c>
      <c r="L180" s="21">
        <v>6.6</v>
      </c>
      <c r="M180" s="3">
        <v>0.26</v>
      </c>
      <c r="N180" s="2" t="s">
        <v>171</v>
      </c>
      <c r="O180" s="4" t="s">
        <v>17</v>
      </c>
      <c r="P180" s="18" t="s">
        <v>18</v>
      </c>
      <c r="Q180" s="5">
        <f t="shared" si="6"/>
        <v>5.774</v>
      </c>
      <c r="R180" s="5">
        <f t="shared" si="7"/>
        <v>6.665</v>
      </c>
      <c r="S180" s="5">
        <f t="shared" si="7"/>
        <v>3.1399999999999997</v>
      </c>
      <c r="T180" s="23">
        <f>('Investor-Inputs'!$G$19 * Q180) + ('Investor-Inputs'!$J$19 * R180) + ('Investor-Inputs'!$N$19 * S180)</f>
        <v>33.792000000000002</v>
      </c>
      <c r="U180" s="27">
        <f t="shared" si="8"/>
        <v>444</v>
      </c>
    </row>
    <row r="181" spans="3:21" x14ac:dyDescent="0.25">
      <c r="C181" s="2" t="s">
        <v>214</v>
      </c>
      <c r="D181" s="2">
        <v>4</v>
      </c>
      <c r="E181" s="2" t="s">
        <v>14</v>
      </c>
      <c r="F181" s="2" t="s">
        <v>205</v>
      </c>
      <c r="G181" s="3">
        <v>6.17</v>
      </c>
      <c r="H181" s="3">
        <v>6.26</v>
      </c>
      <c r="I181" s="3">
        <v>6.89</v>
      </c>
      <c r="J181" s="3">
        <v>6.7</v>
      </c>
      <c r="K181" s="3">
        <v>6</v>
      </c>
      <c r="L181" s="21">
        <v>6.57</v>
      </c>
      <c r="M181" s="3">
        <v>0.21</v>
      </c>
      <c r="N181" s="2" t="s">
        <v>180</v>
      </c>
      <c r="O181" s="4" t="s">
        <v>17</v>
      </c>
      <c r="P181" s="18" t="s">
        <v>18</v>
      </c>
      <c r="Q181" s="5">
        <f t="shared" si="6"/>
        <v>5.7560000000000002</v>
      </c>
      <c r="R181" s="5">
        <f t="shared" si="7"/>
        <v>6.6349999999999998</v>
      </c>
      <c r="S181" s="5">
        <f t="shared" si="7"/>
        <v>3.105</v>
      </c>
      <c r="T181" s="23">
        <f>('Investor-Inputs'!$G$19 * Q181) + ('Investor-Inputs'!$J$19 * R181) + ('Investor-Inputs'!$N$19 * S181)</f>
        <v>33.643000000000001</v>
      </c>
      <c r="U181" s="27">
        <f t="shared" si="8"/>
        <v>458</v>
      </c>
    </row>
    <row r="182" spans="3:21" x14ac:dyDescent="0.25">
      <c r="C182" s="2" t="s">
        <v>215</v>
      </c>
      <c r="D182" s="2">
        <v>4</v>
      </c>
      <c r="E182" s="2" t="s">
        <v>14</v>
      </c>
      <c r="F182" s="2" t="s">
        <v>205</v>
      </c>
      <c r="G182" s="3">
        <v>6.2</v>
      </c>
      <c r="H182" s="3">
        <v>6.33</v>
      </c>
      <c r="I182" s="3">
        <v>6.9</v>
      </c>
      <c r="J182" s="3">
        <v>6.73</v>
      </c>
      <c r="K182" s="3">
        <v>6</v>
      </c>
      <c r="L182" s="21">
        <v>6.58</v>
      </c>
      <c r="M182" s="3">
        <v>0.22</v>
      </c>
      <c r="N182" s="2" t="s">
        <v>180</v>
      </c>
      <c r="O182" s="4" t="s">
        <v>17</v>
      </c>
      <c r="P182" s="18" t="s">
        <v>18</v>
      </c>
      <c r="Q182" s="5">
        <f t="shared" si="6"/>
        <v>5.76</v>
      </c>
      <c r="R182" s="5">
        <f t="shared" si="7"/>
        <v>6.6550000000000002</v>
      </c>
      <c r="S182" s="5">
        <f t="shared" si="7"/>
        <v>3.11</v>
      </c>
      <c r="T182" s="23">
        <f>('Investor-Inputs'!$G$19 * Q182) + ('Investor-Inputs'!$J$19 * R182) + ('Investor-Inputs'!$N$19 * S182)</f>
        <v>33.700000000000003</v>
      </c>
      <c r="U182" s="27">
        <f t="shared" si="8"/>
        <v>454</v>
      </c>
    </row>
    <row r="183" spans="3:21" x14ac:dyDescent="0.25">
      <c r="C183" s="2" t="s">
        <v>216</v>
      </c>
      <c r="D183" s="2">
        <v>4</v>
      </c>
      <c r="E183" s="2" t="s">
        <v>14</v>
      </c>
      <c r="F183" s="2" t="s">
        <v>205</v>
      </c>
      <c r="G183" s="3">
        <v>6.2</v>
      </c>
      <c r="H183" s="3">
        <v>6.3</v>
      </c>
      <c r="I183" s="3">
        <v>6.89</v>
      </c>
      <c r="J183" s="3">
        <v>6.72</v>
      </c>
      <c r="K183" s="3">
        <v>5.97</v>
      </c>
      <c r="L183" s="21">
        <v>6.57</v>
      </c>
      <c r="M183" s="3">
        <v>0.33</v>
      </c>
      <c r="N183" s="2" t="s">
        <v>180</v>
      </c>
      <c r="O183" s="4" t="s">
        <v>17</v>
      </c>
      <c r="P183" s="18" t="s">
        <v>18</v>
      </c>
      <c r="Q183" s="5">
        <f t="shared" si="6"/>
        <v>5.7409999999999997</v>
      </c>
      <c r="R183" s="5">
        <f t="shared" si="7"/>
        <v>6.6449999999999996</v>
      </c>
      <c r="S183" s="5">
        <f t="shared" si="7"/>
        <v>3.15</v>
      </c>
      <c r="T183" s="23">
        <f>('Investor-Inputs'!$G$19 * Q183) + ('Investor-Inputs'!$J$19 * R183) + ('Investor-Inputs'!$N$19 * S183)</f>
        <v>33.662999999999997</v>
      </c>
      <c r="U183" s="27">
        <f t="shared" si="8"/>
        <v>456</v>
      </c>
    </row>
    <row r="184" spans="3:21" x14ac:dyDescent="0.25">
      <c r="C184" s="2" t="s">
        <v>217</v>
      </c>
      <c r="D184" s="2">
        <v>4</v>
      </c>
      <c r="E184" s="2" t="s">
        <v>14</v>
      </c>
      <c r="F184" s="2" t="s">
        <v>205</v>
      </c>
      <c r="G184" s="3">
        <v>6.21</v>
      </c>
      <c r="H184" s="3">
        <v>6.33</v>
      </c>
      <c r="I184" s="3">
        <v>6.92</v>
      </c>
      <c r="J184" s="3">
        <v>6.74</v>
      </c>
      <c r="K184" s="3">
        <v>6.02</v>
      </c>
      <c r="L184" s="21">
        <v>6.6</v>
      </c>
      <c r="M184" s="3">
        <v>0.17</v>
      </c>
      <c r="N184" s="2" t="s">
        <v>180</v>
      </c>
      <c r="O184" s="4" t="s">
        <v>17</v>
      </c>
      <c r="P184" s="18" t="s">
        <v>18</v>
      </c>
      <c r="Q184" s="5">
        <f t="shared" si="6"/>
        <v>5.7780000000000005</v>
      </c>
      <c r="R184" s="5">
        <f t="shared" si="7"/>
        <v>6.67</v>
      </c>
      <c r="S184" s="5">
        <f t="shared" si="7"/>
        <v>3.0949999999999998</v>
      </c>
      <c r="T184" s="23">
        <f>('Investor-Inputs'!$G$19 * Q184) + ('Investor-Inputs'!$J$19 * R184) + ('Investor-Inputs'!$N$19 * S184)</f>
        <v>33.769000000000005</v>
      </c>
      <c r="U184" s="27">
        <f t="shared" si="8"/>
        <v>448</v>
      </c>
    </row>
    <row r="185" spans="3:21" x14ac:dyDescent="0.25">
      <c r="C185" s="2" t="s">
        <v>218</v>
      </c>
      <c r="D185" s="2">
        <v>4</v>
      </c>
      <c r="E185" s="2" t="s">
        <v>14</v>
      </c>
      <c r="F185" s="2" t="s">
        <v>219</v>
      </c>
      <c r="G185" s="3">
        <v>6.3</v>
      </c>
      <c r="H185" s="3">
        <v>5.98</v>
      </c>
      <c r="I185" s="3">
        <v>7.28</v>
      </c>
      <c r="J185" s="3">
        <v>7.04</v>
      </c>
      <c r="K185" s="3">
        <v>6.35</v>
      </c>
      <c r="L185" s="21">
        <v>6.93</v>
      </c>
      <c r="M185" s="3">
        <v>0.37</v>
      </c>
      <c r="N185" s="2" t="s">
        <v>171</v>
      </c>
      <c r="O185" s="4" t="s">
        <v>24</v>
      </c>
      <c r="P185" s="18" t="s">
        <v>18</v>
      </c>
      <c r="Q185" s="5">
        <f t="shared" si="6"/>
        <v>6.0869999999999997</v>
      </c>
      <c r="R185" s="5">
        <f t="shared" si="7"/>
        <v>6.9849999999999994</v>
      </c>
      <c r="S185" s="5">
        <f t="shared" si="7"/>
        <v>3.36</v>
      </c>
      <c r="T185" s="23">
        <f>('Investor-Inputs'!$G$19 * Q185) + ('Investor-Inputs'!$J$19 * R185) + ('Investor-Inputs'!$N$19 * S185)</f>
        <v>35.590999999999994</v>
      </c>
      <c r="U185" s="27">
        <f t="shared" si="8"/>
        <v>375</v>
      </c>
    </row>
    <row r="186" spans="3:21" x14ac:dyDescent="0.25">
      <c r="C186" s="2" t="s">
        <v>220</v>
      </c>
      <c r="D186" s="2">
        <v>5</v>
      </c>
      <c r="E186" s="2" t="s">
        <v>14</v>
      </c>
      <c r="F186" s="2" t="s">
        <v>219</v>
      </c>
      <c r="G186" s="3">
        <v>6.34</v>
      </c>
      <c r="H186" s="3">
        <v>6.05</v>
      </c>
      <c r="I186" s="3">
        <v>7.28</v>
      </c>
      <c r="J186" s="3">
        <v>7.08</v>
      </c>
      <c r="K186" s="3">
        <v>6.32</v>
      </c>
      <c r="L186" s="21">
        <v>6.94</v>
      </c>
      <c r="M186" s="3">
        <v>0.34</v>
      </c>
      <c r="N186" s="2" t="s">
        <v>180</v>
      </c>
      <c r="O186" s="4" t="s">
        <v>28</v>
      </c>
      <c r="P186" s="18" t="s">
        <v>18</v>
      </c>
      <c r="Q186" s="5">
        <f t="shared" si="6"/>
        <v>6.072000000000001</v>
      </c>
      <c r="R186" s="5">
        <f t="shared" si="7"/>
        <v>7.01</v>
      </c>
      <c r="S186" s="5">
        <f t="shared" si="7"/>
        <v>3.33</v>
      </c>
      <c r="T186" s="23">
        <f>('Investor-Inputs'!$G$19 * Q186) + ('Investor-Inputs'!$J$19 * R186) + ('Investor-Inputs'!$N$19 * S186)</f>
        <v>35.566000000000003</v>
      </c>
      <c r="U186" s="27">
        <f t="shared" si="8"/>
        <v>379</v>
      </c>
    </row>
    <row r="187" spans="3:21" x14ac:dyDescent="0.25">
      <c r="C187" s="2" t="s">
        <v>221</v>
      </c>
      <c r="D187" s="2">
        <v>4</v>
      </c>
      <c r="E187" s="2" t="s">
        <v>14</v>
      </c>
      <c r="F187" s="2" t="s">
        <v>219</v>
      </c>
      <c r="G187" s="3">
        <v>6.31</v>
      </c>
      <c r="H187" s="3">
        <v>6.04</v>
      </c>
      <c r="I187" s="3">
        <v>6.91</v>
      </c>
      <c r="J187" s="3">
        <v>6.87</v>
      </c>
      <c r="K187" s="3">
        <v>5.79</v>
      </c>
      <c r="L187" s="21">
        <v>6.56</v>
      </c>
      <c r="M187" s="3">
        <v>0.35</v>
      </c>
      <c r="N187" s="2" t="s">
        <v>180</v>
      </c>
      <c r="O187" s="4" t="s">
        <v>24</v>
      </c>
      <c r="P187" s="18" t="s">
        <v>18</v>
      </c>
      <c r="Q187" s="5">
        <f t="shared" si="6"/>
        <v>5.6590000000000007</v>
      </c>
      <c r="R187" s="5">
        <f t="shared" si="7"/>
        <v>6.7149999999999999</v>
      </c>
      <c r="S187" s="5">
        <f t="shared" si="7"/>
        <v>3.07</v>
      </c>
      <c r="T187" s="23">
        <f>('Investor-Inputs'!$G$19 * Q187) + ('Investor-Inputs'!$J$19 * R187) + ('Investor-Inputs'!$N$19 * S187)</f>
        <v>33.477000000000004</v>
      </c>
      <c r="U187" s="27">
        <f t="shared" si="8"/>
        <v>468</v>
      </c>
    </row>
    <row r="188" spans="3:21" x14ac:dyDescent="0.25">
      <c r="C188" s="2" t="s">
        <v>222</v>
      </c>
      <c r="D188" s="2">
        <v>4</v>
      </c>
      <c r="E188" s="2" t="s">
        <v>14</v>
      </c>
      <c r="F188" s="2" t="s">
        <v>219</v>
      </c>
      <c r="G188" s="3">
        <v>6.27</v>
      </c>
      <c r="H188" s="3">
        <v>5.98</v>
      </c>
      <c r="I188" s="3">
        <v>7.22</v>
      </c>
      <c r="J188" s="3">
        <v>7.01</v>
      </c>
      <c r="K188" s="3">
        <v>6.27</v>
      </c>
      <c r="L188" s="21">
        <v>6.87</v>
      </c>
      <c r="M188" s="3">
        <v>0.46</v>
      </c>
      <c r="N188" s="2" t="s">
        <v>171</v>
      </c>
      <c r="O188" s="4" t="s">
        <v>24</v>
      </c>
      <c r="P188" s="18" t="s">
        <v>18</v>
      </c>
      <c r="Q188" s="5">
        <f t="shared" si="6"/>
        <v>6.0229999999999997</v>
      </c>
      <c r="R188" s="5">
        <f t="shared" si="7"/>
        <v>6.9399999999999995</v>
      </c>
      <c r="S188" s="5">
        <f t="shared" si="7"/>
        <v>3.3649999999999998</v>
      </c>
      <c r="T188" s="23">
        <f>('Investor-Inputs'!$G$19 * Q188) + ('Investor-Inputs'!$J$19 * R188) + ('Investor-Inputs'!$N$19 * S188)</f>
        <v>35.314</v>
      </c>
      <c r="U188" s="27">
        <f t="shared" si="8"/>
        <v>387</v>
      </c>
    </row>
    <row r="189" spans="3:21" x14ac:dyDescent="0.25">
      <c r="C189" s="2" t="s">
        <v>223</v>
      </c>
      <c r="D189" s="2">
        <v>4</v>
      </c>
      <c r="E189" s="2" t="s">
        <v>14</v>
      </c>
      <c r="F189" s="2" t="s">
        <v>219</v>
      </c>
      <c r="G189" s="3">
        <v>6.29</v>
      </c>
      <c r="H189" s="3">
        <v>5.96</v>
      </c>
      <c r="I189" s="3">
        <v>7.27</v>
      </c>
      <c r="J189" s="3">
        <v>7.05</v>
      </c>
      <c r="K189" s="3">
        <v>6.3</v>
      </c>
      <c r="L189" s="21">
        <v>6.91</v>
      </c>
      <c r="M189" s="3">
        <v>0.39</v>
      </c>
      <c r="N189" s="2" t="s">
        <v>180</v>
      </c>
      <c r="O189" s="4" t="s">
        <v>17</v>
      </c>
      <c r="P189" s="18" t="s">
        <v>18</v>
      </c>
      <c r="Q189" s="5">
        <f t="shared" si="6"/>
        <v>6.0579999999999998</v>
      </c>
      <c r="R189" s="5">
        <f t="shared" si="7"/>
        <v>6.98</v>
      </c>
      <c r="S189" s="5">
        <f t="shared" si="7"/>
        <v>3.3449999999999998</v>
      </c>
      <c r="T189" s="23">
        <f>('Investor-Inputs'!$G$19 * Q189) + ('Investor-Inputs'!$J$19 * R189) + ('Investor-Inputs'!$N$19 * S189)</f>
        <v>35.478999999999999</v>
      </c>
      <c r="U189" s="27">
        <f t="shared" si="8"/>
        <v>381</v>
      </c>
    </row>
    <row r="190" spans="3:21" x14ac:dyDescent="0.25">
      <c r="C190" s="2" t="s">
        <v>224</v>
      </c>
      <c r="D190" s="2">
        <v>4</v>
      </c>
      <c r="E190" s="2" t="s">
        <v>14</v>
      </c>
      <c r="F190" s="2" t="s">
        <v>219</v>
      </c>
      <c r="G190" s="3">
        <v>6.29</v>
      </c>
      <c r="H190" s="3">
        <v>6</v>
      </c>
      <c r="I190" s="3">
        <v>7.24</v>
      </c>
      <c r="J190" s="3">
        <v>7.04</v>
      </c>
      <c r="K190" s="3">
        <v>6.31</v>
      </c>
      <c r="L190" s="21">
        <v>6.91</v>
      </c>
      <c r="M190" s="3">
        <v>0.37</v>
      </c>
      <c r="N190" s="2" t="s">
        <v>171</v>
      </c>
      <c r="O190" s="4" t="s">
        <v>17</v>
      </c>
      <c r="P190" s="18" t="s">
        <v>18</v>
      </c>
      <c r="Q190" s="5">
        <f t="shared" si="6"/>
        <v>6.0510000000000002</v>
      </c>
      <c r="R190" s="5">
        <f t="shared" si="7"/>
        <v>6.9749999999999996</v>
      </c>
      <c r="S190" s="5">
        <f t="shared" si="7"/>
        <v>3.34</v>
      </c>
      <c r="T190" s="23">
        <f>('Investor-Inputs'!$G$19 * Q190) + ('Investor-Inputs'!$J$19 * R190) + ('Investor-Inputs'!$N$19 * S190)</f>
        <v>35.442999999999998</v>
      </c>
      <c r="U190" s="27">
        <f t="shared" si="8"/>
        <v>385</v>
      </c>
    </row>
    <row r="191" spans="3:21" x14ac:dyDescent="0.25">
      <c r="C191" s="2" t="s">
        <v>225</v>
      </c>
      <c r="D191" s="2">
        <v>4</v>
      </c>
      <c r="E191" s="2" t="s">
        <v>14</v>
      </c>
      <c r="F191" s="2" t="s">
        <v>219</v>
      </c>
      <c r="G191" s="3">
        <v>6.33</v>
      </c>
      <c r="H191" s="3">
        <v>6.05</v>
      </c>
      <c r="I191" s="3">
        <v>7.27</v>
      </c>
      <c r="J191" s="3">
        <v>7.07</v>
      </c>
      <c r="K191" s="3">
        <v>6.33</v>
      </c>
      <c r="L191" s="21">
        <v>6.93</v>
      </c>
      <c r="M191" s="3">
        <v>0.42</v>
      </c>
      <c r="N191" s="2" t="s">
        <v>171</v>
      </c>
      <c r="O191" s="4" t="s">
        <v>17</v>
      </c>
      <c r="P191" s="18" t="s">
        <v>18</v>
      </c>
      <c r="Q191" s="5">
        <f t="shared" si="6"/>
        <v>6.0730000000000004</v>
      </c>
      <c r="R191" s="5">
        <f t="shared" si="7"/>
        <v>7</v>
      </c>
      <c r="S191" s="5">
        <f t="shared" si="7"/>
        <v>3.375</v>
      </c>
      <c r="T191" s="23">
        <f>('Investor-Inputs'!$G$19 * Q191) + ('Investor-Inputs'!$J$19 * R191) + ('Investor-Inputs'!$N$19 * S191)</f>
        <v>35.594000000000001</v>
      </c>
      <c r="U191" s="27">
        <f t="shared" si="8"/>
        <v>373</v>
      </c>
    </row>
    <row r="192" spans="3:21" x14ac:dyDescent="0.25">
      <c r="C192" s="2" t="s">
        <v>226</v>
      </c>
      <c r="D192" s="2">
        <v>4</v>
      </c>
      <c r="E192" s="2" t="s">
        <v>14</v>
      </c>
      <c r="F192" s="2" t="s">
        <v>219</v>
      </c>
      <c r="G192" s="3">
        <v>6.34</v>
      </c>
      <c r="H192" s="3">
        <v>6.02</v>
      </c>
      <c r="I192" s="3">
        <v>7.31</v>
      </c>
      <c r="J192" s="3">
        <v>7.09</v>
      </c>
      <c r="K192" s="3">
        <v>6.37</v>
      </c>
      <c r="L192" s="21">
        <v>6.97</v>
      </c>
      <c r="M192" s="3">
        <v>0.25</v>
      </c>
      <c r="N192" s="2" t="s">
        <v>171</v>
      </c>
      <c r="O192" s="4" t="s">
        <v>28</v>
      </c>
      <c r="P192" s="18" t="s">
        <v>18</v>
      </c>
      <c r="Q192" s="5">
        <f t="shared" si="6"/>
        <v>6.109</v>
      </c>
      <c r="R192" s="5">
        <f t="shared" si="7"/>
        <v>7.0299999999999994</v>
      </c>
      <c r="S192" s="5">
        <f t="shared" si="7"/>
        <v>3.31</v>
      </c>
      <c r="T192" s="23">
        <f>('Investor-Inputs'!$G$19 * Q192) + ('Investor-Inputs'!$J$19 * R192) + ('Investor-Inputs'!$N$19 * S192)</f>
        <v>35.697000000000003</v>
      </c>
      <c r="U192" s="27">
        <f t="shared" si="8"/>
        <v>367</v>
      </c>
    </row>
    <row r="193" spans="3:21" x14ac:dyDescent="0.25">
      <c r="C193" s="2" t="s">
        <v>227</v>
      </c>
      <c r="D193" s="2">
        <v>5</v>
      </c>
      <c r="E193" s="2" t="s">
        <v>14</v>
      </c>
      <c r="F193" s="2" t="s">
        <v>228</v>
      </c>
      <c r="G193" s="3">
        <v>5.4</v>
      </c>
      <c r="H193" s="3">
        <v>5.31</v>
      </c>
      <c r="I193" s="3">
        <v>6.25</v>
      </c>
      <c r="J193" s="3">
        <v>5.95</v>
      </c>
      <c r="K193" s="3">
        <v>5.54</v>
      </c>
      <c r="L193" s="21">
        <v>5.96</v>
      </c>
      <c r="M193" s="3">
        <v>0.14000000000000001</v>
      </c>
      <c r="N193" s="2" t="s">
        <v>229</v>
      </c>
      <c r="O193" s="4" t="s">
        <v>28</v>
      </c>
      <c r="P193" s="18" t="s">
        <v>18</v>
      </c>
      <c r="Q193" s="5">
        <f t="shared" si="6"/>
        <v>5.27</v>
      </c>
      <c r="R193" s="5">
        <f t="shared" si="7"/>
        <v>5.9550000000000001</v>
      </c>
      <c r="S193" s="5">
        <f t="shared" si="7"/>
        <v>2.84</v>
      </c>
      <c r="T193" s="23">
        <f>('Investor-Inputs'!$G$19 * Q193) + ('Investor-Inputs'!$J$19 * R193) + ('Investor-Inputs'!$N$19 * S193)</f>
        <v>30.56</v>
      </c>
      <c r="U193" s="27">
        <f t="shared" si="8"/>
        <v>514</v>
      </c>
    </row>
    <row r="194" spans="3:21" x14ac:dyDescent="0.25">
      <c r="C194" s="2" t="s">
        <v>230</v>
      </c>
      <c r="D194" s="2">
        <v>5</v>
      </c>
      <c r="E194" s="2" t="s">
        <v>14</v>
      </c>
      <c r="F194" s="2" t="s">
        <v>228</v>
      </c>
      <c r="G194" s="3">
        <v>5.41</v>
      </c>
      <c r="H194" s="3">
        <v>5.31</v>
      </c>
      <c r="I194" s="2"/>
      <c r="J194" s="2"/>
      <c r="K194" s="2"/>
      <c r="L194" s="20"/>
      <c r="M194" s="3">
        <v>0.19</v>
      </c>
      <c r="N194" s="2" t="s">
        <v>229</v>
      </c>
      <c r="O194" s="4" t="s">
        <v>28</v>
      </c>
      <c r="P194" s="18" t="s">
        <v>18</v>
      </c>
      <c r="Q194" s="5">
        <f t="shared" si="6"/>
        <v>0</v>
      </c>
      <c r="R194" s="5">
        <f t="shared" si="7"/>
        <v>0</v>
      </c>
      <c r="S194" s="5">
        <f t="shared" si="7"/>
        <v>9.5000000000000001E-2</v>
      </c>
      <c r="T194" s="23">
        <f>('Investor-Inputs'!$G$19 * Q194) + ('Investor-Inputs'!$J$19 * R194) + ('Investor-Inputs'!$N$19 * S194)</f>
        <v>9.5000000000000001E-2</v>
      </c>
      <c r="U194" s="27">
        <f t="shared" si="8"/>
        <v>585</v>
      </c>
    </row>
    <row r="195" spans="3:21" x14ac:dyDescent="0.25">
      <c r="C195" s="2" t="s">
        <v>231</v>
      </c>
      <c r="D195" s="2">
        <v>5</v>
      </c>
      <c r="E195" s="2" t="s">
        <v>14</v>
      </c>
      <c r="F195" s="2" t="s">
        <v>228</v>
      </c>
      <c r="G195" s="3">
        <v>5.47</v>
      </c>
      <c r="H195" s="3">
        <v>5.37</v>
      </c>
      <c r="I195" s="3">
        <v>6.32</v>
      </c>
      <c r="J195" s="3">
        <v>6.02</v>
      </c>
      <c r="K195" s="3">
        <v>5.61</v>
      </c>
      <c r="L195" s="21">
        <v>6.03</v>
      </c>
      <c r="M195" s="3">
        <v>0.14000000000000001</v>
      </c>
      <c r="N195" s="2" t="s">
        <v>229</v>
      </c>
      <c r="O195" s="4" t="s">
        <v>28</v>
      </c>
      <c r="P195" s="18" t="s">
        <v>18</v>
      </c>
      <c r="Q195" s="5">
        <f t="shared" si="6"/>
        <v>5.3330000000000002</v>
      </c>
      <c r="R195" s="5">
        <f t="shared" si="7"/>
        <v>6.0250000000000004</v>
      </c>
      <c r="S195" s="5">
        <f t="shared" si="7"/>
        <v>2.875</v>
      </c>
      <c r="T195" s="23">
        <f>('Investor-Inputs'!$G$19 * Q195) + ('Investor-Inputs'!$J$19 * R195) + ('Investor-Inputs'!$N$19 * S195)</f>
        <v>30.923999999999999</v>
      </c>
      <c r="U195" s="27">
        <f t="shared" si="8"/>
        <v>512</v>
      </c>
    </row>
    <row r="196" spans="3:21" x14ac:dyDescent="0.25">
      <c r="C196" s="2" t="s">
        <v>232</v>
      </c>
      <c r="D196" s="2">
        <v>4</v>
      </c>
      <c r="E196" s="2" t="s">
        <v>14</v>
      </c>
      <c r="F196" s="2" t="s">
        <v>228</v>
      </c>
      <c r="G196" s="3">
        <v>5.34</v>
      </c>
      <c r="H196" s="3">
        <v>5.25</v>
      </c>
      <c r="I196" s="3">
        <v>6.18</v>
      </c>
      <c r="J196" s="3">
        <v>5.88</v>
      </c>
      <c r="K196" s="3">
        <v>5.48</v>
      </c>
      <c r="L196" s="21">
        <v>5.9</v>
      </c>
      <c r="M196" s="3">
        <v>0.15</v>
      </c>
      <c r="N196" s="2" t="s">
        <v>229</v>
      </c>
      <c r="O196" s="4" t="s">
        <v>17</v>
      </c>
      <c r="P196" s="18" t="s">
        <v>18</v>
      </c>
      <c r="Q196" s="5">
        <f t="shared" si="6"/>
        <v>5.2119999999999997</v>
      </c>
      <c r="R196" s="5">
        <f t="shared" si="7"/>
        <v>5.8900000000000006</v>
      </c>
      <c r="S196" s="5">
        <f t="shared" si="7"/>
        <v>2.8150000000000004</v>
      </c>
      <c r="T196" s="23">
        <f>('Investor-Inputs'!$G$19 * Q196) + ('Investor-Inputs'!$J$19 * R196) + ('Investor-Inputs'!$N$19 * S196)</f>
        <v>30.231000000000002</v>
      </c>
      <c r="U196" s="27">
        <f t="shared" si="8"/>
        <v>526</v>
      </c>
    </row>
    <row r="197" spans="3:21" x14ac:dyDescent="0.25">
      <c r="C197" s="2" t="s">
        <v>233</v>
      </c>
      <c r="D197" s="2">
        <v>4</v>
      </c>
      <c r="E197" s="2" t="s">
        <v>14</v>
      </c>
      <c r="F197" s="2" t="s">
        <v>228</v>
      </c>
      <c r="G197" s="3">
        <v>5.41</v>
      </c>
      <c r="H197" s="3">
        <v>5.34</v>
      </c>
      <c r="I197" s="3">
        <v>6.19</v>
      </c>
      <c r="J197" s="3">
        <v>5.92</v>
      </c>
      <c r="K197" s="3">
        <v>5.47</v>
      </c>
      <c r="L197" s="21">
        <v>5.91</v>
      </c>
      <c r="M197" s="3">
        <v>0.09</v>
      </c>
      <c r="N197" s="2" t="s">
        <v>229</v>
      </c>
      <c r="O197" s="4" t="s">
        <v>17</v>
      </c>
      <c r="P197" s="18" t="s">
        <v>18</v>
      </c>
      <c r="Q197" s="5">
        <f t="shared" si="6"/>
        <v>5.2110000000000003</v>
      </c>
      <c r="R197" s="5">
        <f t="shared" si="7"/>
        <v>5.915</v>
      </c>
      <c r="S197" s="5">
        <f t="shared" si="7"/>
        <v>2.78</v>
      </c>
      <c r="T197" s="23">
        <f>('Investor-Inputs'!$G$19 * Q197) + ('Investor-Inputs'!$J$19 * R197) + ('Investor-Inputs'!$N$19 * S197)</f>
        <v>30.243000000000002</v>
      </c>
      <c r="U197" s="27">
        <f t="shared" si="8"/>
        <v>524</v>
      </c>
    </row>
    <row r="198" spans="3:21" x14ac:dyDescent="0.25">
      <c r="C198" s="2" t="s">
        <v>234</v>
      </c>
      <c r="D198" s="2">
        <v>4</v>
      </c>
      <c r="E198" s="2" t="s">
        <v>14</v>
      </c>
      <c r="F198" s="2" t="s">
        <v>228</v>
      </c>
      <c r="G198" s="3">
        <v>5.34</v>
      </c>
      <c r="H198" s="3">
        <v>5.25</v>
      </c>
      <c r="I198" s="3">
        <v>6.18</v>
      </c>
      <c r="J198" s="3">
        <v>5.88</v>
      </c>
      <c r="K198" s="3">
        <v>5.47</v>
      </c>
      <c r="L198" s="21">
        <v>5.89</v>
      </c>
      <c r="M198" s="3">
        <v>0.18</v>
      </c>
      <c r="N198" s="2" t="s">
        <v>229</v>
      </c>
      <c r="O198" s="4" t="s">
        <v>17</v>
      </c>
      <c r="P198" s="18" t="s">
        <v>18</v>
      </c>
      <c r="Q198" s="5">
        <f t="shared" si="6"/>
        <v>5.2069999999999999</v>
      </c>
      <c r="R198" s="5">
        <f t="shared" si="7"/>
        <v>5.8849999999999998</v>
      </c>
      <c r="S198" s="5">
        <f t="shared" si="7"/>
        <v>2.8249999999999997</v>
      </c>
      <c r="T198" s="23">
        <f>('Investor-Inputs'!$G$19 * Q198) + ('Investor-Inputs'!$J$19 * R198) + ('Investor-Inputs'!$N$19 * S198)</f>
        <v>30.215999999999998</v>
      </c>
      <c r="U198" s="27">
        <f t="shared" si="8"/>
        <v>530</v>
      </c>
    </row>
    <row r="199" spans="3:21" x14ac:dyDescent="0.25">
      <c r="C199" s="2" t="s">
        <v>235</v>
      </c>
      <c r="D199" s="2">
        <v>4</v>
      </c>
      <c r="E199" s="2" t="s">
        <v>14</v>
      </c>
      <c r="F199" s="2" t="s">
        <v>228</v>
      </c>
      <c r="G199" s="3">
        <v>5.35</v>
      </c>
      <c r="H199" s="3">
        <v>5.26</v>
      </c>
      <c r="I199" s="3">
        <v>6.2</v>
      </c>
      <c r="J199" s="3">
        <v>5.9</v>
      </c>
      <c r="K199" s="3">
        <v>5.49</v>
      </c>
      <c r="L199" s="21">
        <v>5.91</v>
      </c>
      <c r="M199" s="3">
        <v>0.12</v>
      </c>
      <c r="N199" s="2" t="s">
        <v>229</v>
      </c>
      <c r="O199" s="4" t="s">
        <v>17</v>
      </c>
      <c r="P199" s="18" t="s">
        <v>18</v>
      </c>
      <c r="Q199" s="5">
        <f t="shared" si="6"/>
        <v>5.2250000000000005</v>
      </c>
      <c r="R199" s="5">
        <f t="shared" si="7"/>
        <v>5.9050000000000002</v>
      </c>
      <c r="S199" s="5">
        <f t="shared" si="7"/>
        <v>2.8050000000000002</v>
      </c>
      <c r="T199" s="23">
        <f>('Investor-Inputs'!$G$19 * Q199) + ('Investor-Inputs'!$J$19 * R199) + ('Investor-Inputs'!$N$19 * S199)</f>
        <v>30.29</v>
      </c>
      <c r="U199" s="27">
        <f t="shared" si="8"/>
        <v>520</v>
      </c>
    </row>
    <row r="200" spans="3:21" x14ac:dyDescent="0.25">
      <c r="C200" s="2" t="s">
        <v>236</v>
      </c>
      <c r="D200" s="2">
        <v>4</v>
      </c>
      <c r="E200" s="2" t="s">
        <v>14</v>
      </c>
      <c r="F200" s="2" t="s">
        <v>228</v>
      </c>
      <c r="G200" s="3">
        <v>5.34</v>
      </c>
      <c r="H200" s="3">
        <v>5.25</v>
      </c>
      <c r="I200" s="3">
        <v>6.17</v>
      </c>
      <c r="J200" s="3">
        <v>5.88</v>
      </c>
      <c r="K200" s="3">
        <v>5.46</v>
      </c>
      <c r="L200" s="21">
        <v>5.89</v>
      </c>
      <c r="M200" s="3">
        <v>0.2</v>
      </c>
      <c r="N200" s="2" t="s">
        <v>229</v>
      </c>
      <c r="O200" s="4" t="s">
        <v>17</v>
      </c>
      <c r="P200" s="18" t="s">
        <v>18</v>
      </c>
      <c r="Q200" s="5">
        <f t="shared" ref="Q200:Q263" si="9">I200*0.4+K200*0.5</f>
        <v>5.1980000000000004</v>
      </c>
      <c r="R200" s="5">
        <f t="shared" ref="R200:S263" si="10">(L200+J200)/2</f>
        <v>5.8849999999999998</v>
      </c>
      <c r="S200" s="5">
        <f t="shared" si="10"/>
        <v>2.83</v>
      </c>
      <c r="T200" s="23">
        <f>('Investor-Inputs'!$G$19 * Q200) + ('Investor-Inputs'!$J$19 * R200) + ('Investor-Inputs'!$N$19 * S200)</f>
        <v>30.194000000000003</v>
      </c>
      <c r="U200" s="27">
        <f t="shared" ref="U200:U263" si="11">_xlfn.RANK.EQ(T200,$T$7:$T$592,0)</f>
        <v>532</v>
      </c>
    </row>
    <row r="201" spans="3:21" x14ac:dyDescent="0.25">
      <c r="C201" s="2" t="s">
        <v>237</v>
      </c>
      <c r="D201" s="2">
        <v>4</v>
      </c>
      <c r="E201" s="2" t="s">
        <v>14</v>
      </c>
      <c r="F201" s="2" t="s">
        <v>228</v>
      </c>
      <c r="G201" s="3">
        <v>5.34</v>
      </c>
      <c r="H201" s="3">
        <v>5.24</v>
      </c>
      <c r="I201" s="3">
        <v>6.18</v>
      </c>
      <c r="J201" s="3">
        <v>5.88</v>
      </c>
      <c r="K201" s="3">
        <v>5.49</v>
      </c>
      <c r="L201" s="21">
        <v>5.9</v>
      </c>
      <c r="M201" s="3">
        <v>0.2</v>
      </c>
      <c r="N201" s="2" t="s">
        <v>229</v>
      </c>
      <c r="O201" s="4" t="s">
        <v>17</v>
      </c>
      <c r="P201" s="18" t="s">
        <v>18</v>
      </c>
      <c r="Q201" s="5">
        <f t="shared" si="9"/>
        <v>5.2170000000000005</v>
      </c>
      <c r="R201" s="5">
        <f t="shared" si="10"/>
        <v>5.8900000000000006</v>
      </c>
      <c r="S201" s="5">
        <f t="shared" si="10"/>
        <v>2.8450000000000002</v>
      </c>
      <c r="T201" s="23">
        <f>('Investor-Inputs'!$G$19 * Q201) + ('Investor-Inputs'!$J$19 * R201) + ('Investor-Inputs'!$N$19 * S201)</f>
        <v>30.276000000000003</v>
      </c>
      <c r="U201" s="27">
        <f t="shared" si="11"/>
        <v>522</v>
      </c>
    </row>
    <row r="202" spans="3:21" x14ac:dyDescent="0.25">
      <c r="C202" s="2" t="s">
        <v>238</v>
      </c>
      <c r="D202" s="2">
        <v>4</v>
      </c>
      <c r="E202" s="2" t="s">
        <v>14</v>
      </c>
      <c r="F202" s="2" t="s">
        <v>228</v>
      </c>
      <c r="G202" s="3">
        <v>5.27</v>
      </c>
      <c r="H202" s="3">
        <v>5.16</v>
      </c>
      <c r="I202" s="3">
        <v>6.17</v>
      </c>
      <c r="J202" s="3">
        <v>5.86</v>
      </c>
      <c r="K202" s="3">
        <v>5.48</v>
      </c>
      <c r="L202" s="21">
        <v>5.88</v>
      </c>
      <c r="M202" s="3">
        <v>0.23</v>
      </c>
      <c r="N202" s="2" t="s">
        <v>229</v>
      </c>
      <c r="O202" s="4" t="s">
        <v>17</v>
      </c>
      <c r="P202" s="18" t="s">
        <v>18</v>
      </c>
      <c r="Q202" s="5">
        <f t="shared" si="9"/>
        <v>5.2080000000000002</v>
      </c>
      <c r="R202" s="5">
        <f t="shared" si="10"/>
        <v>5.87</v>
      </c>
      <c r="S202" s="5">
        <f t="shared" si="10"/>
        <v>2.8550000000000004</v>
      </c>
      <c r="T202" s="23">
        <f>('Investor-Inputs'!$G$19 * Q202) + ('Investor-Inputs'!$J$19 * R202) + ('Investor-Inputs'!$N$19 * S202)</f>
        <v>30.219000000000001</v>
      </c>
      <c r="U202" s="27">
        <f t="shared" si="11"/>
        <v>528</v>
      </c>
    </row>
    <row r="203" spans="3:21" x14ac:dyDescent="0.25">
      <c r="C203" s="2" t="s">
        <v>239</v>
      </c>
      <c r="D203" s="2">
        <v>4</v>
      </c>
      <c r="E203" s="2" t="s">
        <v>14</v>
      </c>
      <c r="F203" s="2" t="s">
        <v>228</v>
      </c>
      <c r="G203" s="3">
        <v>5.36</v>
      </c>
      <c r="H203" s="3">
        <v>5.27</v>
      </c>
      <c r="I203" s="3">
        <v>6.21</v>
      </c>
      <c r="J203" s="3">
        <v>5.91</v>
      </c>
      <c r="K203" s="3">
        <v>5.5</v>
      </c>
      <c r="L203" s="21">
        <v>5.92</v>
      </c>
      <c r="M203" s="3">
        <v>0.18</v>
      </c>
      <c r="N203" s="2" t="s">
        <v>229</v>
      </c>
      <c r="O203" s="4" t="s">
        <v>17</v>
      </c>
      <c r="P203" s="18" t="s">
        <v>18</v>
      </c>
      <c r="Q203" s="5">
        <f t="shared" si="9"/>
        <v>5.234</v>
      </c>
      <c r="R203" s="5">
        <f t="shared" si="10"/>
        <v>5.915</v>
      </c>
      <c r="S203" s="5">
        <f t="shared" si="10"/>
        <v>2.84</v>
      </c>
      <c r="T203" s="23">
        <f>('Investor-Inputs'!$G$19 * Q203) + ('Investor-Inputs'!$J$19 * R203) + ('Investor-Inputs'!$N$19 * S203)</f>
        <v>30.372</v>
      </c>
      <c r="U203" s="27">
        <f t="shared" si="11"/>
        <v>518</v>
      </c>
    </row>
    <row r="204" spans="3:21" x14ac:dyDescent="0.25">
      <c r="C204" s="2" t="s">
        <v>240</v>
      </c>
      <c r="D204" s="2">
        <v>5</v>
      </c>
      <c r="E204" s="2" t="s">
        <v>14</v>
      </c>
      <c r="F204" s="2" t="s">
        <v>241</v>
      </c>
      <c r="G204" s="3">
        <v>4.33</v>
      </c>
      <c r="H204" s="3">
        <v>3.29</v>
      </c>
      <c r="I204" s="3">
        <v>7.47</v>
      </c>
      <c r="J204" s="3">
        <v>6.92</v>
      </c>
      <c r="K204" s="3">
        <v>6.62</v>
      </c>
      <c r="L204" s="21">
        <v>6.92</v>
      </c>
      <c r="M204" s="3">
        <v>0.59</v>
      </c>
      <c r="N204" s="2" t="s">
        <v>242</v>
      </c>
      <c r="O204" s="4" t="s">
        <v>28</v>
      </c>
      <c r="P204" s="18" t="s">
        <v>18</v>
      </c>
      <c r="Q204" s="5">
        <f t="shared" si="9"/>
        <v>6.298</v>
      </c>
      <c r="R204" s="5">
        <f t="shared" si="10"/>
        <v>6.92</v>
      </c>
      <c r="S204" s="5">
        <f t="shared" si="10"/>
        <v>3.605</v>
      </c>
      <c r="T204" s="23">
        <f>('Investor-Inputs'!$G$19 * Q204) + ('Investor-Inputs'!$J$19 * R204) + ('Investor-Inputs'!$N$19 * S204)</f>
        <v>36.338999999999992</v>
      </c>
      <c r="U204" s="27">
        <f t="shared" si="11"/>
        <v>349</v>
      </c>
    </row>
    <row r="205" spans="3:21" x14ac:dyDescent="0.25">
      <c r="C205" s="2" t="s">
        <v>243</v>
      </c>
      <c r="D205" s="2">
        <v>4</v>
      </c>
      <c r="E205" s="2" t="s">
        <v>14</v>
      </c>
      <c r="F205" s="2" t="s">
        <v>241</v>
      </c>
      <c r="G205" s="3">
        <v>3.26</v>
      </c>
      <c r="H205" s="3">
        <v>3.89</v>
      </c>
      <c r="I205" s="3">
        <v>6.77</v>
      </c>
      <c r="J205" s="3">
        <v>6.42</v>
      </c>
      <c r="K205" s="3">
        <v>5.75</v>
      </c>
      <c r="L205" s="21">
        <v>6.37</v>
      </c>
      <c r="M205" s="3">
        <v>0.63</v>
      </c>
      <c r="N205" s="2" t="s">
        <v>171</v>
      </c>
      <c r="O205" s="4" t="s">
        <v>17</v>
      </c>
      <c r="P205" s="18" t="s">
        <v>18</v>
      </c>
      <c r="Q205" s="5">
        <f t="shared" si="9"/>
        <v>5.5830000000000002</v>
      </c>
      <c r="R205" s="5">
        <f t="shared" si="10"/>
        <v>6.3949999999999996</v>
      </c>
      <c r="S205" s="5">
        <f t="shared" si="10"/>
        <v>3.19</v>
      </c>
      <c r="T205" s="23">
        <f>('Investor-Inputs'!$G$19 * Q205) + ('Investor-Inputs'!$J$19 * R205) + ('Investor-Inputs'!$N$19 * S205)</f>
        <v>32.728999999999999</v>
      </c>
      <c r="U205" s="27">
        <f t="shared" si="11"/>
        <v>482</v>
      </c>
    </row>
    <row r="206" spans="3:21" x14ac:dyDescent="0.25">
      <c r="C206" s="2" t="s">
        <v>244</v>
      </c>
      <c r="D206" s="2">
        <v>4</v>
      </c>
      <c r="E206" s="2" t="s">
        <v>14</v>
      </c>
      <c r="F206" s="2" t="s">
        <v>241</v>
      </c>
      <c r="G206" s="3">
        <v>1.87</v>
      </c>
      <c r="H206" s="3">
        <v>1.51</v>
      </c>
      <c r="I206" s="3">
        <v>6.18</v>
      </c>
      <c r="J206" s="3">
        <v>5.51</v>
      </c>
      <c r="K206" s="3">
        <v>5.45</v>
      </c>
      <c r="L206" s="21">
        <v>5.8</v>
      </c>
      <c r="M206" s="3">
        <v>0.97</v>
      </c>
      <c r="N206" s="2" t="s">
        <v>171</v>
      </c>
      <c r="O206" s="4" t="s">
        <v>17</v>
      </c>
      <c r="P206" s="18" t="s">
        <v>18</v>
      </c>
      <c r="Q206" s="5">
        <f t="shared" si="9"/>
        <v>5.1970000000000001</v>
      </c>
      <c r="R206" s="5">
        <f t="shared" si="10"/>
        <v>5.6549999999999994</v>
      </c>
      <c r="S206" s="5">
        <f t="shared" si="10"/>
        <v>3.21</v>
      </c>
      <c r="T206" s="23">
        <f>('Investor-Inputs'!$G$19 * Q206) + ('Investor-Inputs'!$J$19 * R206) + ('Investor-Inputs'!$N$19 * S206)</f>
        <v>30.111000000000001</v>
      </c>
      <c r="U206" s="27">
        <f t="shared" si="11"/>
        <v>538</v>
      </c>
    </row>
    <row r="207" spans="3:21" x14ac:dyDescent="0.25">
      <c r="C207" s="2" t="s">
        <v>245</v>
      </c>
      <c r="D207" s="2">
        <v>4</v>
      </c>
      <c r="E207" s="2" t="s">
        <v>14</v>
      </c>
      <c r="F207" s="2" t="s">
        <v>241</v>
      </c>
      <c r="G207" s="3">
        <v>5.38</v>
      </c>
      <c r="H207" s="3">
        <v>4.91</v>
      </c>
      <c r="I207" s="3">
        <v>6.32</v>
      </c>
      <c r="J207" s="3">
        <v>6.35</v>
      </c>
      <c r="K207" s="3">
        <v>4.92</v>
      </c>
      <c r="L207" s="21">
        <v>5.9</v>
      </c>
      <c r="M207" s="3">
        <v>1.02</v>
      </c>
      <c r="N207" s="2" t="s">
        <v>180</v>
      </c>
      <c r="O207" s="4" t="s">
        <v>24</v>
      </c>
      <c r="P207" s="18" t="s">
        <v>18</v>
      </c>
      <c r="Q207" s="5">
        <f t="shared" si="9"/>
        <v>4.9880000000000004</v>
      </c>
      <c r="R207" s="5">
        <f t="shared" si="10"/>
        <v>6.125</v>
      </c>
      <c r="S207" s="5">
        <f t="shared" si="10"/>
        <v>2.9699999999999998</v>
      </c>
      <c r="T207" s="23">
        <f>('Investor-Inputs'!$G$19 * Q207) + ('Investor-Inputs'!$J$19 * R207) + ('Investor-Inputs'!$N$19 * S207)</f>
        <v>30.184000000000001</v>
      </c>
      <c r="U207" s="27">
        <f t="shared" si="11"/>
        <v>534</v>
      </c>
    </row>
    <row r="208" spans="3:21" x14ac:dyDescent="0.25">
      <c r="C208" s="2" t="s">
        <v>246</v>
      </c>
      <c r="D208" s="2">
        <v>5</v>
      </c>
      <c r="E208" s="2" t="s">
        <v>14</v>
      </c>
      <c r="F208" s="2" t="s">
        <v>241</v>
      </c>
      <c r="G208" s="3">
        <v>3.29</v>
      </c>
      <c r="H208" s="3">
        <v>2.44</v>
      </c>
      <c r="I208" s="3">
        <v>6.79</v>
      </c>
      <c r="J208" s="3">
        <v>6.19</v>
      </c>
      <c r="K208" s="3">
        <v>5.71</v>
      </c>
      <c r="L208" s="21">
        <v>6.33</v>
      </c>
      <c r="M208" s="3">
        <v>0.75</v>
      </c>
      <c r="N208" s="2" t="s">
        <v>171</v>
      </c>
      <c r="O208" s="4" t="s">
        <v>28</v>
      </c>
      <c r="P208" s="18" t="s">
        <v>18</v>
      </c>
      <c r="Q208" s="5">
        <f t="shared" si="9"/>
        <v>5.5709999999999997</v>
      </c>
      <c r="R208" s="5">
        <f t="shared" si="10"/>
        <v>6.26</v>
      </c>
      <c r="S208" s="5">
        <f t="shared" si="10"/>
        <v>3.23</v>
      </c>
      <c r="T208" s="23">
        <f>('Investor-Inputs'!$G$19 * Q208) + ('Investor-Inputs'!$J$19 * R208) + ('Investor-Inputs'!$N$19 * S208)</f>
        <v>32.463000000000001</v>
      </c>
      <c r="U208" s="27">
        <f t="shared" si="11"/>
        <v>490</v>
      </c>
    </row>
    <row r="209" spans="3:21" x14ac:dyDescent="0.25">
      <c r="C209" s="2" t="s">
        <v>247</v>
      </c>
      <c r="D209" s="2">
        <v>4</v>
      </c>
      <c r="E209" s="2" t="s">
        <v>14</v>
      </c>
      <c r="F209" s="2" t="s">
        <v>248</v>
      </c>
      <c r="G209" s="3">
        <v>4.74</v>
      </c>
      <c r="H209" s="3">
        <v>3.89</v>
      </c>
      <c r="I209" s="3">
        <v>6.99</v>
      </c>
      <c r="J209" s="3">
        <v>6.66</v>
      </c>
      <c r="K209" s="3">
        <v>5.98</v>
      </c>
      <c r="L209" s="21">
        <v>6.57</v>
      </c>
      <c r="M209" s="3">
        <v>0.97</v>
      </c>
      <c r="N209" s="2" t="s">
        <v>171</v>
      </c>
      <c r="O209" s="4" t="s">
        <v>17</v>
      </c>
      <c r="P209" s="18" t="s">
        <v>18</v>
      </c>
      <c r="Q209" s="5">
        <f t="shared" si="9"/>
        <v>5.7860000000000005</v>
      </c>
      <c r="R209" s="5">
        <f t="shared" si="10"/>
        <v>6.6150000000000002</v>
      </c>
      <c r="S209" s="5">
        <f t="shared" si="10"/>
        <v>3.4750000000000001</v>
      </c>
      <c r="T209" s="23">
        <f>('Investor-Inputs'!$G$19 * Q209) + ('Investor-Inputs'!$J$19 * R209) + ('Investor-Inputs'!$N$19 * S209)</f>
        <v>34.063000000000002</v>
      </c>
      <c r="U209" s="27">
        <f t="shared" si="11"/>
        <v>420</v>
      </c>
    </row>
    <row r="210" spans="3:21" x14ac:dyDescent="0.25">
      <c r="C210" s="2" t="s">
        <v>249</v>
      </c>
      <c r="D210" s="2">
        <v>4</v>
      </c>
      <c r="E210" s="2" t="s">
        <v>14</v>
      </c>
      <c r="F210" s="2" t="s">
        <v>248</v>
      </c>
      <c r="G210" s="3">
        <v>4.74</v>
      </c>
      <c r="H210" s="3">
        <v>4.1399999999999997</v>
      </c>
      <c r="I210" s="3">
        <v>6.87</v>
      </c>
      <c r="J210" s="3">
        <v>6.5</v>
      </c>
      <c r="K210" s="3">
        <v>5.67</v>
      </c>
      <c r="L210" s="21">
        <v>6.3</v>
      </c>
      <c r="M210" s="3">
        <v>0.67</v>
      </c>
      <c r="N210" s="2" t="s">
        <v>180</v>
      </c>
      <c r="O210" s="4" t="s">
        <v>24</v>
      </c>
      <c r="P210" s="18" t="s">
        <v>18</v>
      </c>
      <c r="Q210" s="5">
        <f t="shared" si="9"/>
        <v>5.5830000000000002</v>
      </c>
      <c r="R210" s="5">
        <f t="shared" si="10"/>
        <v>6.4</v>
      </c>
      <c r="S210" s="5">
        <f t="shared" si="10"/>
        <v>3.17</v>
      </c>
      <c r="T210" s="23">
        <f>('Investor-Inputs'!$G$19 * Q210) + ('Investor-Inputs'!$J$19 * R210) + ('Investor-Inputs'!$N$19 * S210)</f>
        <v>32.719000000000001</v>
      </c>
      <c r="U210" s="27">
        <f t="shared" si="11"/>
        <v>484</v>
      </c>
    </row>
    <row r="211" spans="3:21" x14ac:dyDescent="0.25">
      <c r="C211" s="2" t="s">
        <v>250</v>
      </c>
      <c r="D211" s="2">
        <v>4</v>
      </c>
      <c r="E211" s="2" t="s">
        <v>14</v>
      </c>
      <c r="F211" s="2" t="s">
        <v>248</v>
      </c>
      <c r="G211" s="3">
        <v>4.99</v>
      </c>
      <c r="H211" s="3">
        <v>4.0199999999999996</v>
      </c>
      <c r="I211" s="3">
        <v>7.17</v>
      </c>
      <c r="J211" s="3">
        <v>6.88</v>
      </c>
      <c r="K211" s="3">
        <v>5.61</v>
      </c>
      <c r="L211" s="21">
        <v>6.58</v>
      </c>
      <c r="M211" s="3">
        <v>0.59</v>
      </c>
      <c r="N211" s="2" t="s">
        <v>171</v>
      </c>
      <c r="O211" s="4" t="s">
        <v>28</v>
      </c>
      <c r="P211" s="18" t="s">
        <v>18</v>
      </c>
      <c r="Q211" s="5">
        <f t="shared" si="9"/>
        <v>5.673</v>
      </c>
      <c r="R211" s="5">
        <f t="shared" si="10"/>
        <v>6.73</v>
      </c>
      <c r="S211" s="5">
        <f t="shared" si="10"/>
        <v>3.1</v>
      </c>
      <c r="T211" s="23">
        <f>('Investor-Inputs'!$G$19 * Q211) + ('Investor-Inputs'!$J$19 * R211) + ('Investor-Inputs'!$N$19 * S211)</f>
        <v>33.579000000000001</v>
      </c>
      <c r="U211" s="27">
        <f t="shared" si="11"/>
        <v>464</v>
      </c>
    </row>
    <row r="212" spans="3:21" x14ac:dyDescent="0.25">
      <c r="C212" s="2" t="s">
        <v>251</v>
      </c>
      <c r="D212" s="2">
        <v>5</v>
      </c>
      <c r="E212" s="2" t="s">
        <v>14</v>
      </c>
      <c r="F212" s="2" t="s">
        <v>248</v>
      </c>
      <c r="G212" s="3">
        <v>5.91</v>
      </c>
      <c r="H212" s="3">
        <v>5.31</v>
      </c>
      <c r="I212" s="3">
        <v>6.95</v>
      </c>
      <c r="J212" s="3">
        <v>6.91</v>
      </c>
      <c r="K212" s="3">
        <v>5.53</v>
      </c>
      <c r="L212" s="21">
        <v>6.48</v>
      </c>
      <c r="M212" s="3">
        <v>0.56000000000000005</v>
      </c>
      <c r="N212" s="2" t="s">
        <v>180</v>
      </c>
      <c r="O212" s="4" t="s">
        <v>17</v>
      </c>
      <c r="P212" s="18" t="s">
        <v>18</v>
      </c>
      <c r="Q212" s="5">
        <f t="shared" si="9"/>
        <v>5.5449999999999999</v>
      </c>
      <c r="R212" s="5">
        <f t="shared" si="10"/>
        <v>6.6950000000000003</v>
      </c>
      <c r="S212" s="5">
        <f t="shared" si="10"/>
        <v>3.0449999999999999</v>
      </c>
      <c r="T212" s="23">
        <f>('Investor-Inputs'!$G$19 * Q212) + ('Investor-Inputs'!$J$19 * R212) + ('Investor-Inputs'!$N$19 * S212)</f>
        <v>33.07</v>
      </c>
      <c r="U212" s="27">
        <f t="shared" si="11"/>
        <v>478</v>
      </c>
    </row>
    <row r="213" spans="3:21" x14ac:dyDescent="0.25">
      <c r="C213" s="2" t="s">
        <v>252</v>
      </c>
      <c r="D213" s="2">
        <v>4</v>
      </c>
      <c r="E213" s="2" t="s">
        <v>14</v>
      </c>
      <c r="F213" s="2" t="s">
        <v>248</v>
      </c>
      <c r="G213" s="3">
        <v>5.8</v>
      </c>
      <c r="H213" s="3">
        <v>5.17</v>
      </c>
      <c r="I213" s="3">
        <v>7.38</v>
      </c>
      <c r="J213" s="3">
        <v>7.44</v>
      </c>
      <c r="K213" s="3">
        <v>6.06</v>
      </c>
      <c r="L213" s="21">
        <v>6.93</v>
      </c>
      <c r="M213" s="3">
        <v>0.75</v>
      </c>
      <c r="N213" s="2" t="s">
        <v>171</v>
      </c>
      <c r="O213" s="4" t="s">
        <v>17</v>
      </c>
      <c r="P213" s="18" t="s">
        <v>18</v>
      </c>
      <c r="Q213" s="5">
        <f t="shared" si="9"/>
        <v>5.9819999999999993</v>
      </c>
      <c r="R213" s="5">
        <f t="shared" si="10"/>
        <v>7.1850000000000005</v>
      </c>
      <c r="S213" s="5">
        <f t="shared" si="10"/>
        <v>3.4049999999999998</v>
      </c>
      <c r="T213" s="23">
        <f>('Investor-Inputs'!$G$19 * Q213) + ('Investor-Inputs'!$J$19 * R213) + ('Investor-Inputs'!$N$19 * S213)</f>
        <v>35.721000000000004</v>
      </c>
      <c r="U213" s="27">
        <f t="shared" si="11"/>
        <v>363</v>
      </c>
    </row>
    <row r="214" spans="3:21" x14ac:dyDescent="0.25">
      <c r="C214" s="2" t="s">
        <v>253</v>
      </c>
      <c r="D214" s="2">
        <v>5</v>
      </c>
      <c r="E214" s="2" t="s">
        <v>14</v>
      </c>
      <c r="F214" s="2" t="s">
        <v>248</v>
      </c>
      <c r="G214" s="3">
        <v>5.28</v>
      </c>
      <c r="H214" s="3">
        <v>4.5199999999999996</v>
      </c>
      <c r="I214" s="3">
        <v>7.29</v>
      </c>
      <c r="J214" s="3">
        <v>6.84</v>
      </c>
      <c r="K214" s="3">
        <v>6.41</v>
      </c>
      <c r="L214" s="21">
        <v>6.89</v>
      </c>
      <c r="M214" s="3">
        <v>0.56000000000000005</v>
      </c>
      <c r="N214" s="2" t="s">
        <v>171</v>
      </c>
      <c r="O214" s="4" t="s">
        <v>28</v>
      </c>
      <c r="P214" s="18" t="s">
        <v>18</v>
      </c>
      <c r="Q214" s="5">
        <f t="shared" si="9"/>
        <v>6.1210000000000004</v>
      </c>
      <c r="R214" s="5">
        <f t="shared" si="10"/>
        <v>6.8650000000000002</v>
      </c>
      <c r="S214" s="5">
        <f t="shared" si="10"/>
        <v>3.4850000000000003</v>
      </c>
      <c r="T214" s="23">
        <f>('Investor-Inputs'!$G$19 * Q214) + ('Investor-Inputs'!$J$19 * R214) + ('Investor-Inputs'!$N$19 * S214)</f>
        <v>35.578000000000003</v>
      </c>
      <c r="U214" s="27">
        <f t="shared" si="11"/>
        <v>377</v>
      </c>
    </row>
    <row r="215" spans="3:21" x14ac:dyDescent="0.25">
      <c r="C215" s="2" t="s">
        <v>254</v>
      </c>
      <c r="D215" s="2">
        <v>4</v>
      </c>
      <c r="E215" s="2" t="s">
        <v>14</v>
      </c>
      <c r="F215" s="2" t="s">
        <v>248</v>
      </c>
      <c r="G215" s="3">
        <v>4.59</v>
      </c>
      <c r="H215" s="3">
        <v>3.63</v>
      </c>
      <c r="I215" s="3">
        <v>7.03</v>
      </c>
      <c r="J215" s="3">
        <v>6.57</v>
      </c>
      <c r="K215" s="3">
        <v>6.05</v>
      </c>
      <c r="L215" s="21">
        <v>6.55</v>
      </c>
      <c r="M215" s="3">
        <v>0.7</v>
      </c>
      <c r="N215" s="2" t="s">
        <v>171</v>
      </c>
      <c r="O215" s="4" t="s">
        <v>17</v>
      </c>
      <c r="P215" s="18" t="s">
        <v>18</v>
      </c>
      <c r="Q215" s="5">
        <f t="shared" si="9"/>
        <v>5.8369999999999997</v>
      </c>
      <c r="R215" s="5">
        <f t="shared" si="10"/>
        <v>6.5600000000000005</v>
      </c>
      <c r="S215" s="5">
        <f t="shared" si="10"/>
        <v>3.375</v>
      </c>
      <c r="T215" s="23">
        <f>('Investor-Inputs'!$G$19 * Q215) + ('Investor-Inputs'!$J$19 * R215) + ('Investor-Inputs'!$N$19 * S215)</f>
        <v>34.006</v>
      </c>
      <c r="U215" s="27">
        <f t="shared" si="11"/>
        <v>424</v>
      </c>
    </row>
    <row r="216" spans="3:21" x14ac:dyDescent="0.25">
      <c r="C216" s="2" t="s">
        <v>255</v>
      </c>
      <c r="D216" s="2">
        <v>4</v>
      </c>
      <c r="E216" s="2" t="s">
        <v>14</v>
      </c>
      <c r="F216" s="2" t="s">
        <v>248</v>
      </c>
      <c r="G216" s="3">
        <v>4.4000000000000004</v>
      </c>
      <c r="H216" s="3">
        <v>3.52</v>
      </c>
      <c r="I216" s="3">
        <v>7.09</v>
      </c>
      <c r="J216" s="3">
        <v>6.6</v>
      </c>
      <c r="K216" s="3">
        <v>6.34</v>
      </c>
      <c r="L216" s="21">
        <v>6.71</v>
      </c>
      <c r="M216" s="3">
        <v>0.78</v>
      </c>
      <c r="N216" s="2" t="s">
        <v>171</v>
      </c>
      <c r="O216" s="4" t="s">
        <v>17</v>
      </c>
      <c r="P216" s="18" t="s">
        <v>18</v>
      </c>
      <c r="Q216" s="5">
        <f t="shared" si="9"/>
        <v>6.0060000000000002</v>
      </c>
      <c r="R216" s="5">
        <f t="shared" si="10"/>
        <v>6.6549999999999994</v>
      </c>
      <c r="S216" s="5">
        <f t="shared" si="10"/>
        <v>3.56</v>
      </c>
      <c r="T216" s="23">
        <f>('Investor-Inputs'!$G$19 * Q216) + ('Investor-Inputs'!$J$19 * R216) + ('Investor-Inputs'!$N$19 * S216)</f>
        <v>34.887999999999998</v>
      </c>
      <c r="U216" s="27">
        <f t="shared" si="11"/>
        <v>397</v>
      </c>
    </row>
    <row r="217" spans="3:21" x14ac:dyDescent="0.25">
      <c r="C217" s="2" t="s">
        <v>256</v>
      </c>
      <c r="D217" s="2">
        <v>4</v>
      </c>
      <c r="E217" s="2" t="s">
        <v>14</v>
      </c>
      <c r="F217" s="2" t="s">
        <v>257</v>
      </c>
      <c r="G217" s="3">
        <v>6.34</v>
      </c>
      <c r="H217" s="3">
        <v>5.65</v>
      </c>
      <c r="I217" s="3">
        <v>7.54</v>
      </c>
      <c r="J217" s="3">
        <v>7.32</v>
      </c>
      <c r="K217" s="3">
        <v>8.32</v>
      </c>
      <c r="L217" s="21">
        <v>7.46</v>
      </c>
      <c r="M217" s="3">
        <v>1.6</v>
      </c>
      <c r="N217" s="2" t="s">
        <v>242</v>
      </c>
      <c r="O217" s="4" t="s">
        <v>17</v>
      </c>
      <c r="P217" s="18" t="s">
        <v>18</v>
      </c>
      <c r="Q217" s="5">
        <f t="shared" si="9"/>
        <v>7.1760000000000002</v>
      </c>
      <c r="R217" s="5">
        <f t="shared" si="10"/>
        <v>7.3900000000000006</v>
      </c>
      <c r="S217" s="5">
        <f t="shared" si="10"/>
        <v>4.96</v>
      </c>
      <c r="T217" s="23">
        <f>('Investor-Inputs'!$G$19 * Q217) + ('Investor-Inputs'!$J$19 * R217) + ('Investor-Inputs'!$N$19 * S217)</f>
        <v>41.268000000000001</v>
      </c>
      <c r="U217" s="27">
        <f t="shared" si="11"/>
        <v>311</v>
      </c>
    </row>
    <row r="218" spans="3:21" x14ac:dyDescent="0.25">
      <c r="C218" s="2" t="s">
        <v>258</v>
      </c>
      <c r="D218" s="2">
        <v>4</v>
      </c>
      <c r="E218" s="2" t="s">
        <v>14</v>
      </c>
      <c r="F218" s="2" t="s">
        <v>257</v>
      </c>
      <c r="G218" s="3">
        <v>7.61</v>
      </c>
      <c r="H218" s="3">
        <v>6.71</v>
      </c>
      <c r="I218" s="3">
        <v>8.0399999999999991</v>
      </c>
      <c r="J218" s="3">
        <v>8.1</v>
      </c>
      <c r="K218" s="3">
        <v>7.26</v>
      </c>
      <c r="L218" s="21">
        <v>7.73</v>
      </c>
      <c r="M218" s="3">
        <v>1.37</v>
      </c>
      <c r="N218" s="2" t="s">
        <v>28</v>
      </c>
      <c r="O218" s="4" t="s">
        <v>17</v>
      </c>
      <c r="P218" s="18" t="s">
        <v>18</v>
      </c>
      <c r="Q218" s="5">
        <f t="shared" si="9"/>
        <v>6.8460000000000001</v>
      </c>
      <c r="R218" s="5">
        <f t="shared" si="10"/>
        <v>7.915</v>
      </c>
      <c r="S218" s="5">
        <f t="shared" si="10"/>
        <v>4.3149999999999995</v>
      </c>
      <c r="T218" s="23">
        <f>('Investor-Inputs'!$G$19 * Q218) + ('Investor-Inputs'!$J$19 * R218) + ('Investor-Inputs'!$N$19 * S218)</f>
        <v>40.683</v>
      </c>
      <c r="U218" s="27">
        <f t="shared" si="11"/>
        <v>319</v>
      </c>
    </row>
    <row r="219" spans="3:21" x14ac:dyDescent="0.25">
      <c r="C219" s="2" t="s">
        <v>259</v>
      </c>
      <c r="D219" s="2">
        <v>5</v>
      </c>
      <c r="E219" s="2" t="s">
        <v>14</v>
      </c>
      <c r="F219" s="2" t="s">
        <v>257</v>
      </c>
      <c r="G219" s="3">
        <v>5.98</v>
      </c>
      <c r="H219" s="3">
        <v>6.71</v>
      </c>
      <c r="I219" s="3">
        <v>8.1300000000000008</v>
      </c>
      <c r="J219" s="3">
        <v>8.1199999999999992</v>
      </c>
      <c r="K219" s="3">
        <v>6.93</v>
      </c>
      <c r="L219" s="21">
        <v>7.99</v>
      </c>
      <c r="M219" s="3">
        <v>1.46</v>
      </c>
      <c r="N219" s="2" t="s">
        <v>171</v>
      </c>
      <c r="O219" s="4" t="s">
        <v>28</v>
      </c>
      <c r="P219" s="18" t="s">
        <v>18</v>
      </c>
      <c r="Q219" s="5">
        <f t="shared" si="9"/>
        <v>6.7170000000000005</v>
      </c>
      <c r="R219" s="5">
        <f t="shared" si="10"/>
        <v>8.0549999999999997</v>
      </c>
      <c r="S219" s="5">
        <f t="shared" si="10"/>
        <v>4.1950000000000003</v>
      </c>
      <c r="T219" s="23">
        <f>('Investor-Inputs'!$G$19 * Q219) + ('Investor-Inputs'!$J$19 * R219) + ('Investor-Inputs'!$N$19 * S219)</f>
        <v>40.456000000000003</v>
      </c>
      <c r="U219" s="27">
        <f t="shared" si="11"/>
        <v>323</v>
      </c>
    </row>
    <row r="220" spans="3:21" x14ac:dyDescent="0.25">
      <c r="C220" s="2" t="s">
        <v>260</v>
      </c>
      <c r="D220" s="2">
        <v>4</v>
      </c>
      <c r="E220" s="2" t="s">
        <v>14</v>
      </c>
      <c r="F220" s="2" t="s">
        <v>257</v>
      </c>
      <c r="G220" s="3">
        <v>7.15</v>
      </c>
      <c r="H220" s="3">
        <v>6.42</v>
      </c>
      <c r="I220" s="3">
        <v>8.02</v>
      </c>
      <c r="J220" s="3">
        <v>7.94</v>
      </c>
      <c r="K220" s="3">
        <v>8.33</v>
      </c>
      <c r="L220" s="21">
        <v>7.76</v>
      </c>
      <c r="M220" s="3">
        <v>1.51</v>
      </c>
      <c r="N220" s="2" t="s">
        <v>28</v>
      </c>
      <c r="O220" s="4" t="s">
        <v>17</v>
      </c>
      <c r="P220" s="18" t="s">
        <v>18</v>
      </c>
      <c r="Q220" s="5">
        <f t="shared" si="9"/>
        <v>7.3730000000000002</v>
      </c>
      <c r="R220" s="5">
        <f t="shared" si="10"/>
        <v>7.85</v>
      </c>
      <c r="S220" s="5">
        <f t="shared" si="10"/>
        <v>4.92</v>
      </c>
      <c r="T220" s="23">
        <f>('Investor-Inputs'!$G$19 * Q220) + ('Investor-Inputs'!$J$19 * R220) + ('Investor-Inputs'!$N$19 * S220)</f>
        <v>42.739000000000004</v>
      </c>
      <c r="U220" s="27">
        <f t="shared" si="11"/>
        <v>299</v>
      </c>
    </row>
    <row r="221" spans="3:21" x14ac:dyDescent="0.25">
      <c r="C221" s="2" t="s">
        <v>261</v>
      </c>
      <c r="D221" s="2">
        <v>4</v>
      </c>
      <c r="E221" s="2" t="s">
        <v>14</v>
      </c>
      <c r="F221" s="2" t="s">
        <v>262</v>
      </c>
      <c r="G221" s="3">
        <v>4.6900000000000004</v>
      </c>
      <c r="H221" s="3">
        <v>3.9</v>
      </c>
      <c r="I221" s="3">
        <v>6.64</v>
      </c>
      <c r="J221" s="3">
        <v>6.36</v>
      </c>
      <c r="K221" s="3">
        <v>5.72</v>
      </c>
      <c r="L221" s="21">
        <v>6.27</v>
      </c>
      <c r="M221" s="3">
        <v>0.65</v>
      </c>
      <c r="N221" s="2" t="s">
        <v>171</v>
      </c>
      <c r="O221" s="4" t="s">
        <v>24</v>
      </c>
      <c r="P221" s="18" t="s">
        <v>18</v>
      </c>
      <c r="Q221" s="5">
        <f t="shared" si="9"/>
        <v>5.516</v>
      </c>
      <c r="R221" s="5">
        <f t="shared" si="10"/>
        <v>6.3149999999999995</v>
      </c>
      <c r="S221" s="5">
        <f t="shared" si="10"/>
        <v>3.1850000000000001</v>
      </c>
      <c r="T221" s="23">
        <f>('Investor-Inputs'!$G$19 * Q221) + ('Investor-Inputs'!$J$19 * R221) + ('Investor-Inputs'!$N$19 * S221)</f>
        <v>32.363</v>
      </c>
      <c r="U221" s="27">
        <f t="shared" si="11"/>
        <v>492</v>
      </c>
    </row>
    <row r="222" spans="3:21" x14ac:dyDescent="0.25">
      <c r="C222" s="2" t="s">
        <v>263</v>
      </c>
      <c r="D222" s="2">
        <v>4</v>
      </c>
      <c r="E222" s="2" t="s">
        <v>14</v>
      </c>
      <c r="F222" s="2" t="s">
        <v>262</v>
      </c>
      <c r="G222" s="3">
        <v>4.6900000000000004</v>
      </c>
      <c r="H222" s="3">
        <v>4.0999999999999996</v>
      </c>
      <c r="I222" s="3">
        <v>6.59</v>
      </c>
      <c r="J222" s="3">
        <v>6.3</v>
      </c>
      <c r="K222" s="3">
        <v>5.7</v>
      </c>
      <c r="L222" s="21">
        <v>6.25</v>
      </c>
      <c r="M222" s="3">
        <v>0.65</v>
      </c>
      <c r="N222" s="2" t="s">
        <v>180</v>
      </c>
      <c r="O222" s="4" t="s">
        <v>17</v>
      </c>
      <c r="P222" s="18" t="s">
        <v>18</v>
      </c>
      <c r="Q222" s="5">
        <f t="shared" si="9"/>
        <v>5.4860000000000007</v>
      </c>
      <c r="R222" s="5">
        <f t="shared" si="10"/>
        <v>6.2750000000000004</v>
      </c>
      <c r="S222" s="5">
        <f t="shared" si="10"/>
        <v>3.1750000000000003</v>
      </c>
      <c r="T222" s="23">
        <f>('Investor-Inputs'!$G$19 * Q222) + ('Investor-Inputs'!$J$19 * R222) + ('Investor-Inputs'!$N$19 * S222)</f>
        <v>32.183</v>
      </c>
      <c r="U222" s="27">
        <f t="shared" si="11"/>
        <v>498</v>
      </c>
    </row>
    <row r="223" spans="3:21" x14ac:dyDescent="0.25">
      <c r="C223" s="2" t="s">
        <v>264</v>
      </c>
      <c r="D223" s="2">
        <v>5</v>
      </c>
      <c r="E223" s="2" t="s">
        <v>14</v>
      </c>
      <c r="F223" s="2" t="s">
        <v>262</v>
      </c>
      <c r="G223" s="3">
        <v>5.98</v>
      </c>
      <c r="H223" s="3">
        <v>5.44</v>
      </c>
      <c r="I223" s="3">
        <v>7.1</v>
      </c>
      <c r="J223" s="3">
        <v>7.01</v>
      </c>
      <c r="K223" s="3">
        <v>5.95</v>
      </c>
      <c r="L223" s="21">
        <v>6.7</v>
      </c>
      <c r="M223" s="3">
        <v>0.5</v>
      </c>
      <c r="N223" s="2" t="s">
        <v>171</v>
      </c>
      <c r="O223" s="4" t="s">
        <v>28</v>
      </c>
      <c r="P223" s="18" t="s">
        <v>18</v>
      </c>
      <c r="Q223" s="5">
        <f t="shared" si="9"/>
        <v>5.8149999999999995</v>
      </c>
      <c r="R223" s="5">
        <f t="shared" si="10"/>
        <v>6.8550000000000004</v>
      </c>
      <c r="S223" s="5">
        <f t="shared" si="10"/>
        <v>3.2250000000000001</v>
      </c>
      <c r="T223" s="23">
        <f>('Investor-Inputs'!$G$19 * Q223) + ('Investor-Inputs'!$J$19 * R223) + ('Investor-Inputs'!$N$19 * S223)</f>
        <v>34.380000000000003</v>
      </c>
      <c r="U223" s="27">
        <f t="shared" si="11"/>
        <v>412</v>
      </c>
    </row>
    <row r="224" spans="3:21" x14ac:dyDescent="0.25">
      <c r="C224" s="2" t="s">
        <v>265</v>
      </c>
      <c r="D224" s="2">
        <v>5</v>
      </c>
      <c r="E224" s="2" t="s">
        <v>14</v>
      </c>
      <c r="F224" s="2" t="s">
        <v>262</v>
      </c>
      <c r="G224" s="3">
        <v>4.8</v>
      </c>
      <c r="H224" s="3">
        <v>4.01</v>
      </c>
      <c r="I224" s="3">
        <v>6.99</v>
      </c>
      <c r="J224" s="3">
        <v>6.48</v>
      </c>
      <c r="K224" s="3">
        <v>6.23</v>
      </c>
      <c r="L224" s="21">
        <v>6.59</v>
      </c>
      <c r="M224" s="3">
        <v>0.74</v>
      </c>
      <c r="N224" s="2" t="s">
        <v>171</v>
      </c>
      <c r="O224" s="4" t="s">
        <v>17</v>
      </c>
      <c r="P224" s="18" t="s">
        <v>18</v>
      </c>
      <c r="Q224" s="5">
        <f t="shared" si="9"/>
        <v>5.9110000000000005</v>
      </c>
      <c r="R224" s="5">
        <f t="shared" si="10"/>
        <v>6.5350000000000001</v>
      </c>
      <c r="S224" s="5">
        <f t="shared" si="10"/>
        <v>3.4850000000000003</v>
      </c>
      <c r="T224" s="23">
        <f>('Investor-Inputs'!$G$19 * Q224) + ('Investor-Inputs'!$J$19 * R224) + ('Investor-Inputs'!$N$19 * S224)</f>
        <v>34.288000000000004</v>
      </c>
      <c r="U224" s="27">
        <f t="shared" si="11"/>
        <v>414</v>
      </c>
    </row>
    <row r="225" spans="3:21" x14ac:dyDescent="0.25">
      <c r="C225" s="2" t="s">
        <v>266</v>
      </c>
      <c r="D225" s="2">
        <v>4</v>
      </c>
      <c r="E225" s="2" t="s">
        <v>14</v>
      </c>
      <c r="F225" s="2" t="s">
        <v>262</v>
      </c>
      <c r="G225" s="3">
        <v>4.5599999999999996</v>
      </c>
      <c r="H225" s="3">
        <v>3.8</v>
      </c>
      <c r="I225" s="3">
        <v>6.86</v>
      </c>
      <c r="J225" s="3">
        <v>6.47</v>
      </c>
      <c r="K225" s="3">
        <v>5.61</v>
      </c>
      <c r="L225" s="21">
        <v>6.35</v>
      </c>
      <c r="M225" s="3">
        <v>0.42</v>
      </c>
      <c r="N225" s="2" t="s">
        <v>171</v>
      </c>
      <c r="O225" s="4" t="s">
        <v>17</v>
      </c>
      <c r="P225" s="18" t="s">
        <v>18</v>
      </c>
      <c r="Q225" s="5">
        <f t="shared" si="9"/>
        <v>5.5490000000000004</v>
      </c>
      <c r="R225" s="5">
        <f t="shared" si="10"/>
        <v>6.41</v>
      </c>
      <c r="S225" s="5">
        <f t="shared" si="10"/>
        <v>3.0150000000000001</v>
      </c>
      <c r="T225" s="23">
        <f>('Investor-Inputs'!$G$19 * Q225) + ('Investor-Inputs'!$J$19 * R225) + ('Investor-Inputs'!$N$19 * S225)</f>
        <v>32.481999999999999</v>
      </c>
      <c r="U225" s="27">
        <f t="shared" si="11"/>
        <v>488</v>
      </c>
    </row>
    <row r="226" spans="3:21" x14ac:dyDescent="0.25">
      <c r="C226" s="2" t="s">
        <v>267</v>
      </c>
      <c r="D226" s="2">
        <v>5</v>
      </c>
      <c r="E226" s="2" t="s">
        <v>14</v>
      </c>
      <c r="F226" s="2" t="s">
        <v>262</v>
      </c>
      <c r="G226" s="3">
        <v>5.81</v>
      </c>
      <c r="H226" s="3">
        <v>5.17</v>
      </c>
      <c r="I226" s="3">
        <v>6.93</v>
      </c>
      <c r="J226" s="3">
        <v>6.9</v>
      </c>
      <c r="K226" s="3">
        <v>7.19</v>
      </c>
      <c r="L226" s="21">
        <v>7.24</v>
      </c>
      <c r="M226" s="3">
        <v>0.46</v>
      </c>
      <c r="N226" s="2" t="s">
        <v>180</v>
      </c>
      <c r="O226" s="4" t="s">
        <v>28</v>
      </c>
      <c r="P226" s="18" t="s">
        <v>18</v>
      </c>
      <c r="Q226" s="5">
        <f t="shared" si="9"/>
        <v>6.3670000000000009</v>
      </c>
      <c r="R226" s="5">
        <f t="shared" si="10"/>
        <v>7.07</v>
      </c>
      <c r="S226" s="5">
        <f t="shared" si="10"/>
        <v>3.8250000000000002</v>
      </c>
      <c r="T226" s="23">
        <f>('Investor-Inputs'!$G$19 * Q226) + ('Investor-Inputs'!$J$19 * R226) + ('Investor-Inputs'!$N$19 * S226)</f>
        <v>37.066000000000003</v>
      </c>
      <c r="U226" s="27">
        <f t="shared" si="11"/>
        <v>341</v>
      </c>
    </row>
    <row r="227" spans="3:21" x14ac:dyDescent="0.25">
      <c r="C227" s="2" t="s">
        <v>268</v>
      </c>
      <c r="D227" s="2">
        <v>5</v>
      </c>
      <c r="E227" s="2" t="s">
        <v>14</v>
      </c>
      <c r="F227" s="2" t="s">
        <v>269</v>
      </c>
      <c r="G227" s="3">
        <v>6.15</v>
      </c>
      <c r="H227" s="3">
        <v>5.6</v>
      </c>
      <c r="I227" s="3">
        <v>7.34</v>
      </c>
      <c r="J227" s="3">
        <v>7.07</v>
      </c>
      <c r="K227" s="3">
        <v>6.41</v>
      </c>
      <c r="L227" s="21">
        <v>6.97</v>
      </c>
      <c r="M227" s="3">
        <v>0.43</v>
      </c>
      <c r="N227" s="2" t="s">
        <v>180</v>
      </c>
      <c r="O227" s="4" t="s">
        <v>24</v>
      </c>
      <c r="P227" s="18" t="s">
        <v>18</v>
      </c>
      <c r="Q227" s="5">
        <f t="shared" si="9"/>
        <v>6.141</v>
      </c>
      <c r="R227" s="5">
        <f t="shared" si="10"/>
        <v>7.02</v>
      </c>
      <c r="S227" s="5">
        <f t="shared" si="10"/>
        <v>3.42</v>
      </c>
      <c r="T227" s="23">
        <f>('Investor-Inputs'!$G$19 * Q227) + ('Investor-Inputs'!$J$19 * R227) + ('Investor-Inputs'!$N$19 * S227)</f>
        <v>35.883000000000003</v>
      </c>
      <c r="U227" s="27">
        <f t="shared" si="11"/>
        <v>353</v>
      </c>
    </row>
    <row r="228" spans="3:21" x14ac:dyDescent="0.25">
      <c r="C228" s="2" t="s">
        <v>270</v>
      </c>
      <c r="D228" s="2">
        <v>4</v>
      </c>
      <c r="E228" s="2" t="s">
        <v>14</v>
      </c>
      <c r="F228" s="2" t="s">
        <v>269</v>
      </c>
      <c r="G228" s="3">
        <v>5.98</v>
      </c>
      <c r="H228" s="3">
        <v>5.27</v>
      </c>
      <c r="I228" s="3">
        <v>7.57</v>
      </c>
      <c r="J228" s="3">
        <v>7.16</v>
      </c>
      <c r="K228" s="3">
        <v>6.57</v>
      </c>
      <c r="L228" s="21">
        <v>7.09</v>
      </c>
      <c r="M228" s="3">
        <v>0.54</v>
      </c>
      <c r="N228" s="2" t="s">
        <v>171</v>
      </c>
      <c r="O228" s="4" t="s">
        <v>24</v>
      </c>
      <c r="P228" s="18" t="s">
        <v>18</v>
      </c>
      <c r="Q228" s="5">
        <f t="shared" si="9"/>
        <v>6.3130000000000006</v>
      </c>
      <c r="R228" s="5">
        <f t="shared" si="10"/>
        <v>7.125</v>
      </c>
      <c r="S228" s="5">
        <f t="shared" si="10"/>
        <v>3.5550000000000002</v>
      </c>
      <c r="T228" s="23">
        <f>('Investor-Inputs'!$G$19 * Q228) + ('Investor-Inputs'!$J$19 * R228) + ('Investor-Inputs'!$N$19 * S228)</f>
        <v>36.744</v>
      </c>
      <c r="U228" s="27">
        <f t="shared" si="11"/>
        <v>345</v>
      </c>
    </row>
    <row r="229" spans="3:21" x14ac:dyDescent="0.25">
      <c r="C229" s="2" t="s">
        <v>271</v>
      </c>
      <c r="D229" s="2">
        <v>4</v>
      </c>
      <c r="E229" s="2" t="s">
        <v>14</v>
      </c>
      <c r="F229" s="2" t="s">
        <v>269</v>
      </c>
      <c r="G229" s="3">
        <v>5.96</v>
      </c>
      <c r="H229" s="3">
        <v>4.96</v>
      </c>
      <c r="I229" s="3">
        <v>7.46</v>
      </c>
      <c r="J229" s="3">
        <v>7.15</v>
      </c>
      <c r="K229" s="3">
        <v>6.37</v>
      </c>
      <c r="L229" s="21">
        <v>6.92</v>
      </c>
      <c r="M229" s="3">
        <v>0.63</v>
      </c>
      <c r="N229" s="2" t="s">
        <v>171</v>
      </c>
      <c r="O229" s="4" t="s">
        <v>24</v>
      </c>
      <c r="P229" s="18" t="s">
        <v>18</v>
      </c>
      <c r="Q229" s="5">
        <f t="shared" si="9"/>
        <v>6.1690000000000005</v>
      </c>
      <c r="R229" s="5">
        <f t="shared" si="10"/>
        <v>7.0350000000000001</v>
      </c>
      <c r="S229" s="5">
        <f t="shared" si="10"/>
        <v>3.5</v>
      </c>
      <c r="T229" s="23">
        <f>('Investor-Inputs'!$G$19 * Q229) + ('Investor-Inputs'!$J$19 * R229) + ('Investor-Inputs'!$N$19 * S229)</f>
        <v>36.076999999999998</v>
      </c>
      <c r="U229" s="27">
        <f t="shared" si="11"/>
        <v>351</v>
      </c>
    </row>
    <row r="230" spans="3:21" x14ac:dyDescent="0.25">
      <c r="C230" s="2" t="s">
        <v>272</v>
      </c>
      <c r="D230" s="2">
        <v>4</v>
      </c>
      <c r="E230" s="2" t="s">
        <v>14</v>
      </c>
      <c r="F230" s="2" t="s">
        <v>273</v>
      </c>
      <c r="G230" s="3">
        <v>0.25</v>
      </c>
      <c r="H230" s="3">
        <v>1.48</v>
      </c>
      <c r="I230" s="3">
        <v>6.51</v>
      </c>
      <c r="J230" s="3">
        <v>5.38</v>
      </c>
      <c r="K230" s="3">
        <v>5.38</v>
      </c>
      <c r="L230" s="21">
        <v>5.8</v>
      </c>
      <c r="M230" s="3">
        <v>0.86</v>
      </c>
      <c r="N230" s="2" t="s">
        <v>171</v>
      </c>
      <c r="O230" s="4" t="s">
        <v>17</v>
      </c>
      <c r="P230" s="18" t="s">
        <v>18</v>
      </c>
      <c r="Q230" s="5">
        <f t="shared" si="9"/>
        <v>5.2940000000000005</v>
      </c>
      <c r="R230" s="5">
        <f t="shared" si="10"/>
        <v>5.59</v>
      </c>
      <c r="S230" s="5">
        <f t="shared" si="10"/>
        <v>3.12</v>
      </c>
      <c r="T230" s="23">
        <f>('Investor-Inputs'!$G$19 * Q230) + ('Investor-Inputs'!$J$19 * R230) + ('Investor-Inputs'!$N$19 * S230)</f>
        <v>30.182000000000002</v>
      </c>
      <c r="U230" s="27">
        <f t="shared" si="11"/>
        <v>536</v>
      </c>
    </row>
    <row r="231" spans="3:21" x14ac:dyDescent="0.25">
      <c r="C231" s="2" t="s">
        <v>274</v>
      </c>
      <c r="D231" s="2">
        <v>5</v>
      </c>
      <c r="E231" s="2" t="s">
        <v>14</v>
      </c>
      <c r="F231" s="2" t="s">
        <v>273</v>
      </c>
      <c r="G231" s="3">
        <v>-0.12</v>
      </c>
      <c r="H231" s="3">
        <v>-0.21</v>
      </c>
      <c r="I231" s="3">
        <v>6.04</v>
      </c>
      <c r="J231" s="3">
        <v>4.78</v>
      </c>
      <c r="K231" s="3">
        <v>5.12</v>
      </c>
      <c r="L231" s="21">
        <v>5.45</v>
      </c>
      <c r="M231" s="3">
        <v>0.46</v>
      </c>
      <c r="N231" s="2" t="s">
        <v>171</v>
      </c>
      <c r="O231" s="4" t="s">
        <v>17</v>
      </c>
      <c r="P231" s="18" t="s">
        <v>18</v>
      </c>
      <c r="Q231" s="5">
        <f t="shared" si="9"/>
        <v>4.9760000000000009</v>
      </c>
      <c r="R231" s="5">
        <f t="shared" si="10"/>
        <v>5.1150000000000002</v>
      </c>
      <c r="S231" s="5">
        <f t="shared" si="10"/>
        <v>2.79</v>
      </c>
      <c r="T231" s="23">
        <f>('Investor-Inputs'!$G$19 * Q231) + ('Investor-Inputs'!$J$19 * R231) + ('Investor-Inputs'!$N$19 * S231)</f>
        <v>27.948</v>
      </c>
      <c r="U231" s="27">
        <f t="shared" si="11"/>
        <v>558</v>
      </c>
    </row>
    <row r="232" spans="3:21" x14ac:dyDescent="0.25">
      <c r="C232" s="2" t="s">
        <v>275</v>
      </c>
      <c r="D232" s="2">
        <v>4</v>
      </c>
      <c r="E232" s="2" t="s">
        <v>14</v>
      </c>
      <c r="F232" s="2" t="s">
        <v>273</v>
      </c>
      <c r="G232" s="3">
        <v>1.95</v>
      </c>
      <c r="H232" s="3">
        <v>3.53</v>
      </c>
      <c r="I232" s="3">
        <v>5.67</v>
      </c>
      <c r="J232" s="3">
        <v>5.37</v>
      </c>
      <c r="K232" s="3">
        <v>4.8099999999999996</v>
      </c>
      <c r="L232" s="21">
        <v>5.31</v>
      </c>
      <c r="M232" s="3">
        <v>1.1499999999999999</v>
      </c>
      <c r="N232" s="2" t="s">
        <v>171</v>
      </c>
      <c r="O232" s="4" t="s">
        <v>24</v>
      </c>
      <c r="P232" s="18" t="s">
        <v>18</v>
      </c>
      <c r="Q232" s="5">
        <f t="shared" si="9"/>
        <v>4.673</v>
      </c>
      <c r="R232" s="5">
        <f t="shared" si="10"/>
        <v>5.34</v>
      </c>
      <c r="S232" s="5">
        <f t="shared" si="10"/>
        <v>2.9799999999999995</v>
      </c>
      <c r="T232" s="23">
        <f>('Investor-Inputs'!$G$19 * Q232) + ('Investor-Inputs'!$J$19 * R232) + ('Investor-Inputs'!$N$19 * S232)</f>
        <v>27.678999999999998</v>
      </c>
      <c r="U232" s="27">
        <f t="shared" si="11"/>
        <v>560</v>
      </c>
    </row>
    <row r="233" spans="3:21" x14ac:dyDescent="0.25">
      <c r="C233" s="2" t="s">
        <v>276</v>
      </c>
      <c r="D233" s="2">
        <v>4</v>
      </c>
      <c r="E233" s="2" t="s">
        <v>14</v>
      </c>
      <c r="F233" s="2" t="s">
        <v>273</v>
      </c>
      <c r="G233" s="3">
        <v>-0.21</v>
      </c>
      <c r="H233" s="3">
        <v>0.31</v>
      </c>
      <c r="I233" s="3">
        <v>5.83</v>
      </c>
      <c r="J233" s="3">
        <v>4.63</v>
      </c>
      <c r="K233" s="3">
        <v>4.9800000000000004</v>
      </c>
      <c r="L233" s="21">
        <v>5.23</v>
      </c>
      <c r="M233" s="3">
        <v>0.93</v>
      </c>
      <c r="N233" s="2" t="s">
        <v>171</v>
      </c>
      <c r="O233" s="4" t="s">
        <v>17</v>
      </c>
      <c r="P233" s="18" t="s">
        <v>18</v>
      </c>
      <c r="Q233" s="5">
        <f t="shared" si="9"/>
        <v>4.822000000000001</v>
      </c>
      <c r="R233" s="5">
        <f t="shared" si="10"/>
        <v>4.93</v>
      </c>
      <c r="S233" s="5">
        <f t="shared" si="10"/>
        <v>2.9550000000000001</v>
      </c>
      <c r="T233" s="23">
        <f>('Investor-Inputs'!$G$19 * Q233) + ('Investor-Inputs'!$J$19 * R233) + ('Investor-Inputs'!$N$19 * S233)</f>
        <v>27.280999999999999</v>
      </c>
      <c r="U233" s="27">
        <f t="shared" si="11"/>
        <v>562</v>
      </c>
    </row>
    <row r="234" spans="3:21" x14ac:dyDescent="0.25">
      <c r="C234" s="2" t="s">
        <v>277</v>
      </c>
      <c r="D234" s="2">
        <v>5</v>
      </c>
      <c r="E234" s="2" t="s">
        <v>14</v>
      </c>
      <c r="F234" s="2" t="s">
        <v>273</v>
      </c>
      <c r="G234" s="3">
        <v>1.99</v>
      </c>
      <c r="H234" s="3">
        <v>1.66</v>
      </c>
      <c r="I234" s="3">
        <v>6.66</v>
      </c>
      <c r="J234" s="3">
        <v>5.54</v>
      </c>
      <c r="K234" s="3">
        <v>6.03</v>
      </c>
      <c r="L234" s="21">
        <v>6.17</v>
      </c>
      <c r="M234" s="3">
        <v>1.1000000000000001</v>
      </c>
      <c r="N234" s="2" t="s">
        <v>171</v>
      </c>
      <c r="O234" s="4" t="s">
        <v>28</v>
      </c>
      <c r="P234" s="18" t="s">
        <v>18</v>
      </c>
      <c r="Q234" s="5">
        <f t="shared" si="9"/>
        <v>5.6790000000000003</v>
      </c>
      <c r="R234" s="5">
        <f t="shared" si="10"/>
        <v>5.8550000000000004</v>
      </c>
      <c r="S234" s="5">
        <f t="shared" si="10"/>
        <v>3.5650000000000004</v>
      </c>
      <c r="T234" s="23">
        <f>('Investor-Inputs'!$G$19 * Q234) + ('Investor-Inputs'!$J$19 * R234) + ('Investor-Inputs'!$N$19 * S234)</f>
        <v>32.311999999999998</v>
      </c>
      <c r="U234" s="27">
        <f t="shared" si="11"/>
        <v>494</v>
      </c>
    </row>
    <row r="235" spans="3:21" x14ac:dyDescent="0.25">
      <c r="C235" s="2" t="s">
        <v>278</v>
      </c>
      <c r="D235" s="2">
        <v>5</v>
      </c>
      <c r="E235" s="2" t="s">
        <v>14</v>
      </c>
      <c r="F235" s="2" t="s">
        <v>273</v>
      </c>
      <c r="G235" s="3">
        <v>4.49</v>
      </c>
      <c r="H235" s="3">
        <v>3.29</v>
      </c>
      <c r="I235" s="3">
        <v>6.76</v>
      </c>
      <c r="J235" s="3">
        <v>6.43</v>
      </c>
      <c r="K235" s="2"/>
      <c r="L235" s="20"/>
      <c r="M235" s="3">
        <v>0.27</v>
      </c>
      <c r="N235" s="2" t="s">
        <v>171</v>
      </c>
      <c r="O235" s="4" t="s">
        <v>28</v>
      </c>
      <c r="P235" s="18" t="s">
        <v>18</v>
      </c>
      <c r="Q235" s="5">
        <f t="shared" si="9"/>
        <v>2.7040000000000002</v>
      </c>
      <c r="R235" s="5">
        <f t="shared" si="10"/>
        <v>3.2149999999999999</v>
      </c>
      <c r="S235" s="5">
        <f t="shared" si="10"/>
        <v>0.13500000000000001</v>
      </c>
      <c r="T235" s="23">
        <f>('Investor-Inputs'!$G$19 * Q235) + ('Investor-Inputs'!$J$19 * R235) + ('Investor-Inputs'!$N$19 * S235)</f>
        <v>14.677</v>
      </c>
      <c r="U235" s="27">
        <f t="shared" si="11"/>
        <v>581</v>
      </c>
    </row>
    <row r="236" spans="3:21" x14ac:dyDescent="0.25">
      <c r="C236" s="2" t="s">
        <v>279</v>
      </c>
      <c r="D236" s="2">
        <v>4</v>
      </c>
      <c r="E236" s="2" t="s">
        <v>14</v>
      </c>
      <c r="F236" s="2" t="s">
        <v>273</v>
      </c>
      <c r="G236" s="3">
        <v>0.12</v>
      </c>
      <c r="H236" s="3">
        <v>1.64</v>
      </c>
      <c r="I236" s="3">
        <v>6.11</v>
      </c>
      <c r="J236" s="3">
        <v>5</v>
      </c>
      <c r="K236" s="3">
        <v>5.69</v>
      </c>
      <c r="L236" s="21">
        <v>5.8</v>
      </c>
      <c r="M236" s="3">
        <v>0.96</v>
      </c>
      <c r="N236" s="2" t="s">
        <v>171</v>
      </c>
      <c r="O236" s="4" t="s">
        <v>17</v>
      </c>
      <c r="P236" s="18" t="s">
        <v>18</v>
      </c>
      <c r="Q236" s="5">
        <f t="shared" si="9"/>
        <v>5.2890000000000006</v>
      </c>
      <c r="R236" s="5">
        <f t="shared" si="10"/>
        <v>5.4</v>
      </c>
      <c r="S236" s="5">
        <f t="shared" si="10"/>
        <v>3.3250000000000002</v>
      </c>
      <c r="T236" s="23">
        <f>('Investor-Inputs'!$G$19 * Q236) + ('Investor-Inputs'!$J$19 * R236) + ('Investor-Inputs'!$N$19 * S236)</f>
        <v>29.992000000000001</v>
      </c>
      <c r="U236" s="27">
        <f t="shared" si="11"/>
        <v>540</v>
      </c>
    </row>
    <row r="237" spans="3:21" x14ac:dyDescent="0.25">
      <c r="C237" s="2" t="s">
        <v>280</v>
      </c>
      <c r="D237" s="2">
        <v>4</v>
      </c>
      <c r="E237" s="2" t="s">
        <v>14</v>
      </c>
      <c r="F237" s="2" t="s">
        <v>273</v>
      </c>
      <c r="G237" s="3">
        <v>2.21</v>
      </c>
      <c r="H237" s="3">
        <v>4.46</v>
      </c>
      <c r="I237" s="3">
        <v>6.58</v>
      </c>
      <c r="J237" s="3">
        <v>6.09</v>
      </c>
      <c r="K237" s="3">
        <v>5.56</v>
      </c>
      <c r="L237" s="21">
        <v>6.17</v>
      </c>
      <c r="M237" s="3">
        <v>0.99</v>
      </c>
      <c r="N237" s="2" t="s">
        <v>171</v>
      </c>
      <c r="O237" s="4" t="s">
        <v>17</v>
      </c>
      <c r="P237" s="18" t="s">
        <v>18</v>
      </c>
      <c r="Q237" s="5">
        <f t="shared" si="9"/>
        <v>5.4119999999999999</v>
      </c>
      <c r="R237" s="5">
        <f t="shared" si="10"/>
        <v>6.13</v>
      </c>
      <c r="S237" s="5">
        <f t="shared" si="10"/>
        <v>3.2749999999999999</v>
      </c>
      <c r="T237" s="23">
        <f>('Investor-Inputs'!$G$19 * Q237) + ('Investor-Inputs'!$J$19 * R237) + ('Investor-Inputs'!$N$19 * S237)</f>
        <v>31.771000000000001</v>
      </c>
      <c r="U237" s="27">
        <f t="shared" si="11"/>
        <v>506</v>
      </c>
    </row>
    <row r="238" spans="3:21" x14ac:dyDescent="0.25">
      <c r="C238" s="2" t="s">
        <v>281</v>
      </c>
      <c r="D238" s="2">
        <v>4</v>
      </c>
      <c r="E238" s="2" t="s">
        <v>14</v>
      </c>
      <c r="F238" s="2" t="s">
        <v>282</v>
      </c>
      <c r="G238" s="3">
        <v>8.7200000000000006</v>
      </c>
      <c r="H238" s="3">
        <v>3.9</v>
      </c>
      <c r="I238" s="3">
        <v>15.34</v>
      </c>
      <c r="J238" s="3">
        <v>10.199999999999999</v>
      </c>
      <c r="K238" s="3">
        <v>13</v>
      </c>
      <c r="L238" s="21">
        <v>11.57</v>
      </c>
      <c r="M238" s="3">
        <v>2.68</v>
      </c>
      <c r="N238" s="2" t="s">
        <v>16</v>
      </c>
      <c r="O238" s="4" t="s">
        <v>17</v>
      </c>
      <c r="P238" s="18" t="s">
        <v>18</v>
      </c>
      <c r="Q238" s="5">
        <f t="shared" si="9"/>
        <v>12.635999999999999</v>
      </c>
      <c r="R238" s="5">
        <f t="shared" si="10"/>
        <v>10.885</v>
      </c>
      <c r="S238" s="5">
        <f t="shared" si="10"/>
        <v>7.84</v>
      </c>
      <c r="T238" s="23">
        <f>('Investor-Inputs'!$G$19 * Q238) + ('Investor-Inputs'!$J$19 * R238) + ('Investor-Inputs'!$N$19 * S238)</f>
        <v>67.518000000000001</v>
      </c>
      <c r="U238" s="27">
        <f t="shared" si="11"/>
        <v>200</v>
      </c>
    </row>
    <row r="239" spans="3:21" x14ac:dyDescent="0.25">
      <c r="C239" s="2" t="s">
        <v>283</v>
      </c>
      <c r="D239" s="2">
        <v>4</v>
      </c>
      <c r="E239" s="2" t="s">
        <v>14</v>
      </c>
      <c r="F239" s="2" t="s">
        <v>282</v>
      </c>
      <c r="G239" s="3">
        <v>13.63</v>
      </c>
      <c r="H239" s="3">
        <v>12.14</v>
      </c>
      <c r="I239" s="3">
        <v>19.8</v>
      </c>
      <c r="J239" s="3">
        <v>11.86</v>
      </c>
      <c r="K239" s="3">
        <v>17.28</v>
      </c>
      <c r="L239" s="21">
        <v>14.61</v>
      </c>
      <c r="M239" s="3">
        <v>2.87</v>
      </c>
      <c r="N239" s="2" t="s">
        <v>16</v>
      </c>
      <c r="O239" s="4" t="s">
        <v>28</v>
      </c>
      <c r="P239" s="18" t="s">
        <v>18</v>
      </c>
      <c r="Q239" s="5">
        <f t="shared" si="9"/>
        <v>16.560000000000002</v>
      </c>
      <c r="R239" s="5">
        <f t="shared" si="10"/>
        <v>13.234999999999999</v>
      </c>
      <c r="S239" s="5">
        <f t="shared" si="10"/>
        <v>10.075000000000001</v>
      </c>
      <c r="T239" s="23">
        <f>('Investor-Inputs'!$G$19 * Q239) + ('Investor-Inputs'!$J$19 * R239) + ('Investor-Inputs'!$N$19 * S239)</f>
        <v>86.225000000000009</v>
      </c>
      <c r="U239" s="27">
        <f t="shared" si="11"/>
        <v>102</v>
      </c>
    </row>
    <row r="240" spans="3:21" x14ac:dyDescent="0.25">
      <c r="C240" s="2" t="s">
        <v>284</v>
      </c>
      <c r="D240" s="2">
        <v>4</v>
      </c>
      <c r="E240" s="2" t="s">
        <v>14</v>
      </c>
      <c r="F240" s="2" t="s">
        <v>282</v>
      </c>
      <c r="G240" s="3">
        <v>3.76</v>
      </c>
      <c r="H240" s="3">
        <v>0.3</v>
      </c>
      <c r="I240" s="3">
        <v>15.1</v>
      </c>
      <c r="J240" s="3">
        <v>8.1999999999999993</v>
      </c>
      <c r="K240" s="3">
        <v>14.44</v>
      </c>
      <c r="L240" s="21">
        <v>11.85</v>
      </c>
      <c r="M240" s="3">
        <v>1.91</v>
      </c>
      <c r="N240" s="2" t="s">
        <v>16</v>
      </c>
      <c r="O240" s="4" t="s">
        <v>17</v>
      </c>
      <c r="P240" s="18" t="s">
        <v>18</v>
      </c>
      <c r="Q240" s="5">
        <f t="shared" si="9"/>
        <v>13.26</v>
      </c>
      <c r="R240" s="5">
        <f t="shared" si="10"/>
        <v>10.024999999999999</v>
      </c>
      <c r="S240" s="5">
        <f t="shared" si="10"/>
        <v>8.1749999999999989</v>
      </c>
      <c r="T240" s="23">
        <f>('Investor-Inputs'!$G$19 * Q240) + ('Investor-Inputs'!$J$19 * R240) + ('Investor-Inputs'!$N$19 * S240)</f>
        <v>68.004999999999995</v>
      </c>
      <c r="U240" s="27">
        <f t="shared" si="11"/>
        <v>196</v>
      </c>
    </row>
    <row r="241" spans="3:21" x14ac:dyDescent="0.25">
      <c r="C241" s="2" t="s">
        <v>285</v>
      </c>
      <c r="D241" s="2">
        <v>4</v>
      </c>
      <c r="E241" s="2" t="s">
        <v>14</v>
      </c>
      <c r="F241" s="2" t="s">
        <v>282</v>
      </c>
      <c r="G241" s="3">
        <v>-0.61</v>
      </c>
      <c r="H241" s="3">
        <v>-5.91</v>
      </c>
      <c r="I241" s="3">
        <v>10.73</v>
      </c>
      <c r="J241" s="3">
        <v>3.47</v>
      </c>
      <c r="K241" s="3">
        <v>12.43</v>
      </c>
      <c r="L241" s="21">
        <v>8.61</v>
      </c>
      <c r="M241" s="3">
        <v>1.74</v>
      </c>
      <c r="N241" s="2" t="s">
        <v>16</v>
      </c>
      <c r="O241" s="4" t="s">
        <v>24</v>
      </c>
      <c r="P241" s="18" t="s">
        <v>18</v>
      </c>
      <c r="Q241" s="5">
        <f t="shared" si="9"/>
        <v>10.507000000000001</v>
      </c>
      <c r="R241" s="5">
        <f t="shared" si="10"/>
        <v>6.04</v>
      </c>
      <c r="S241" s="5">
        <f t="shared" si="10"/>
        <v>7.085</v>
      </c>
      <c r="T241" s="23">
        <f>('Investor-Inputs'!$G$19 * Q241) + ('Investor-Inputs'!$J$19 * R241) + ('Investor-Inputs'!$N$19 * S241)</f>
        <v>50.686000000000007</v>
      </c>
      <c r="U241" s="27">
        <f t="shared" si="11"/>
        <v>283</v>
      </c>
    </row>
    <row r="242" spans="3:21" x14ac:dyDescent="0.25">
      <c r="C242" s="2" t="s">
        <v>286</v>
      </c>
      <c r="D242" s="2">
        <v>4</v>
      </c>
      <c r="E242" s="2" t="s">
        <v>14</v>
      </c>
      <c r="F242" s="2" t="s">
        <v>282</v>
      </c>
      <c r="G242" s="3">
        <v>-1.29</v>
      </c>
      <c r="H242" s="3">
        <v>-7.05</v>
      </c>
      <c r="I242" s="3">
        <v>10.75</v>
      </c>
      <c r="J242" s="3">
        <v>3.26</v>
      </c>
      <c r="K242" s="3">
        <v>11.27</v>
      </c>
      <c r="L242" s="21">
        <v>8.07</v>
      </c>
      <c r="M242" s="3">
        <v>2.1800000000000002</v>
      </c>
      <c r="N242" s="2" t="s">
        <v>16</v>
      </c>
      <c r="O242" s="4" t="s">
        <v>24</v>
      </c>
      <c r="P242" s="18" t="s">
        <v>18</v>
      </c>
      <c r="Q242" s="5">
        <f t="shared" si="9"/>
        <v>9.9349999999999987</v>
      </c>
      <c r="R242" s="5">
        <f t="shared" si="10"/>
        <v>5.665</v>
      </c>
      <c r="S242" s="5">
        <f t="shared" si="10"/>
        <v>6.7249999999999996</v>
      </c>
      <c r="T242" s="23">
        <f>('Investor-Inputs'!$G$19 * Q242) + ('Investor-Inputs'!$J$19 * R242) + ('Investor-Inputs'!$N$19 * S242)</f>
        <v>47.86</v>
      </c>
      <c r="U242" s="27">
        <f t="shared" si="11"/>
        <v>287</v>
      </c>
    </row>
    <row r="243" spans="3:21" x14ac:dyDescent="0.25">
      <c r="C243" s="2" t="s">
        <v>287</v>
      </c>
      <c r="D243" s="2">
        <v>4</v>
      </c>
      <c r="E243" s="2" t="s">
        <v>14</v>
      </c>
      <c r="F243" s="2" t="s">
        <v>282</v>
      </c>
      <c r="G243" s="3">
        <v>6.93</v>
      </c>
      <c r="H243" s="3">
        <v>2.4</v>
      </c>
      <c r="I243" s="3">
        <v>17.28</v>
      </c>
      <c r="J243" s="3">
        <v>9.5299999999999994</v>
      </c>
      <c r="K243" s="3">
        <v>14.53</v>
      </c>
      <c r="L243" s="21">
        <v>12.75</v>
      </c>
      <c r="M243" s="3">
        <v>5.98</v>
      </c>
      <c r="N243" s="2" t="s">
        <v>16</v>
      </c>
      <c r="O243" s="4" t="s">
        <v>17</v>
      </c>
      <c r="P243" s="18" t="s">
        <v>18</v>
      </c>
      <c r="Q243" s="5">
        <f t="shared" si="9"/>
        <v>14.177</v>
      </c>
      <c r="R243" s="5">
        <f t="shared" si="10"/>
        <v>11.14</v>
      </c>
      <c r="S243" s="5">
        <f t="shared" si="10"/>
        <v>10.254999999999999</v>
      </c>
      <c r="T243" s="23">
        <f>('Investor-Inputs'!$G$19 * Q243) + ('Investor-Inputs'!$J$19 * R243) + ('Investor-Inputs'!$N$19 * S243)</f>
        <v>75.066000000000003</v>
      </c>
      <c r="U243" s="27">
        <f t="shared" si="11"/>
        <v>160</v>
      </c>
    </row>
    <row r="244" spans="3:21" x14ac:dyDescent="0.25">
      <c r="C244" s="2" t="s">
        <v>288</v>
      </c>
      <c r="D244" s="2">
        <v>5</v>
      </c>
      <c r="E244" s="2" t="s">
        <v>14</v>
      </c>
      <c r="F244" s="2" t="s">
        <v>282</v>
      </c>
      <c r="G244" s="3">
        <v>5.07</v>
      </c>
      <c r="H244" s="3">
        <v>1.82</v>
      </c>
      <c r="I244" s="3">
        <v>17.63</v>
      </c>
      <c r="J244" s="3">
        <v>10.4</v>
      </c>
      <c r="K244" s="3">
        <v>18.260000000000002</v>
      </c>
      <c r="L244" s="21">
        <v>14.41</v>
      </c>
      <c r="M244" s="3">
        <v>2.89</v>
      </c>
      <c r="N244" s="2" t="s">
        <v>16</v>
      </c>
      <c r="O244" s="4" t="s">
        <v>28</v>
      </c>
      <c r="P244" s="18" t="s">
        <v>18</v>
      </c>
      <c r="Q244" s="5">
        <f t="shared" si="9"/>
        <v>16.182000000000002</v>
      </c>
      <c r="R244" s="5">
        <f t="shared" si="10"/>
        <v>12.405000000000001</v>
      </c>
      <c r="S244" s="5">
        <f t="shared" si="10"/>
        <v>10.575000000000001</v>
      </c>
      <c r="T244" s="23">
        <f>('Investor-Inputs'!$G$19 * Q244) + ('Investor-Inputs'!$J$19 * R244) + ('Investor-Inputs'!$N$19 * S244)</f>
        <v>83.931000000000012</v>
      </c>
      <c r="U244" s="27">
        <f t="shared" si="11"/>
        <v>112</v>
      </c>
    </row>
    <row r="245" spans="3:21" x14ac:dyDescent="0.25">
      <c r="C245" s="2" t="s">
        <v>289</v>
      </c>
      <c r="D245" s="2">
        <v>5</v>
      </c>
      <c r="E245" s="2" t="s">
        <v>14</v>
      </c>
      <c r="F245" s="2" t="s">
        <v>282</v>
      </c>
      <c r="G245" s="3">
        <v>13.41</v>
      </c>
      <c r="H245" s="3">
        <v>7.26</v>
      </c>
      <c r="I245" s="3">
        <v>20.96</v>
      </c>
      <c r="J245" s="3">
        <v>13.18</v>
      </c>
      <c r="K245" s="3">
        <v>16.27</v>
      </c>
      <c r="L245" s="21">
        <v>15.44</v>
      </c>
      <c r="M245" s="3">
        <v>2.5299999999999998</v>
      </c>
      <c r="N245" s="2" t="s">
        <v>16</v>
      </c>
      <c r="O245" s="4" t="s">
        <v>28</v>
      </c>
      <c r="P245" s="18" t="s">
        <v>18</v>
      </c>
      <c r="Q245" s="5">
        <f t="shared" si="9"/>
        <v>16.518999999999998</v>
      </c>
      <c r="R245" s="5">
        <f t="shared" si="10"/>
        <v>14.309999999999999</v>
      </c>
      <c r="S245" s="5">
        <f t="shared" si="10"/>
        <v>9.4</v>
      </c>
      <c r="T245" s="23">
        <f>('Investor-Inputs'!$G$19 * Q245) + ('Investor-Inputs'!$J$19 * R245) + ('Investor-Inputs'!$N$19 * S245)</f>
        <v>87.576999999999998</v>
      </c>
      <c r="U245" s="27">
        <f t="shared" si="11"/>
        <v>91</v>
      </c>
    </row>
    <row r="246" spans="3:21" x14ac:dyDescent="0.25">
      <c r="C246" s="2" t="s">
        <v>290</v>
      </c>
      <c r="D246" s="2">
        <v>4</v>
      </c>
      <c r="E246" s="2" t="s">
        <v>14</v>
      </c>
      <c r="F246" s="2" t="s">
        <v>282</v>
      </c>
      <c r="G246" s="3">
        <v>-0.94</v>
      </c>
      <c r="H246" s="3">
        <v>-5.67</v>
      </c>
      <c r="I246" s="3">
        <v>16.27</v>
      </c>
      <c r="J246" s="3">
        <v>4.33</v>
      </c>
      <c r="K246" s="3">
        <v>14.06</v>
      </c>
      <c r="L246" s="21">
        <v>11.02</v>
      </c>
      <c r="M246" s="3">
        <v>2.93</v>
      </c>
      <c r="N246" s="2" t="s">
        <v>16</v>
      </c>
      <c r="O246" s="4" t="s">
        <v>17</v>
      </c>
      <c r="P246" s="18" t="s">
        <v>18</v>
      </c>
      <c r="Q246" s="5">
        <f t="shared" si="9"/>
        <v>13.538</v>
      </c>
      <c r="R246" s="5">
        <f t="shared" si="10"/>
        <v>7.6749999999999998</v>
      </c>
      <c r="S246" s="5">
        <f t="shared" si="10"/>
        <v>8.495000000000001</v>
      </c>
      <c r="T246" s="23">
        <f>('Investor-Inputs'!$G$19 * Q246) + ('Investor-Inputs'!$J$19 * R246) + ('Investor-Inputs'!$N$19 * S246)</f>
        <v>64.459000000000003</v>
      </c>
      <c r="U246" s="27">
        <f t="shared" si="11"/>
        <v>210</v>
      </c>
    </row>
    <row r="247" spans="3:21" x14ac:dyDescent="0.25">
      <c r="C247" s="2" t="s">
        <v>291</v>
      </c>
      <c r="D247" s="2">
        <v>4</v>
      </c>
      <c r="E247" s="2" t="s">
        <v>14</v>
      </c>
      <c r="F247" s="2" t="s">
        <v>282</v>
      </c>
      <c r="G247" s="3">
        <v>7.84</v>
      </c>
      <c r="H247" s="3">
        <v>3.41</v>
      </c>
      <c r="I247" s="3">
        <v>14.43</v>
      </c>
      <c r="J247" s="3">
        <v>8.92</v>
      </c>
      <c r="K247" s="3">
        <v>13.09</v>
      </c>
      <c r="L247" s="21">
        <v>11.29</v>
      </c>
      <c r="M247" s="3">
        <v>1.8</v>
      </c>
      <c r="N247" s="2" t="s">
        <v>16</v>
      </c>
      <c r="O247" s="4" t="s">
        <v>17</v>
      </c>
      <c r="P247" s="18" t="s">
        <v>18</v>
      </c>
      <c r="Q247" s="5">
        <f t="shared" si="9"/>
        <v>12.317</v>
      </c>
      <c r="R247" s="5">
        <f t="shared" si="10"/>
        <v>10.105</v>
      </c>
      <c r="S247" s="5">
        <f t="shared" si="10"/>
        <v>7.4450000000000003</v>
      </c>
      <c r="T247" s="23">
        <f>('Investor-Inputs'!$G$19 * Q247) + ('Investor-Inputs'!$J$19 * R247) + ('Investor-Inputs'!$N$19 * S247)</f>
        <v>64.605999999999995</v>
      </c>
      <c r="U247" s="27">
        <f t="shared" si="11"/>
        <v>206</v>
      </c>
    </row>
    <row r="248" spans="3:21" x14ac:dyDescent="0.25">
      <c r="C248" s="2" t="s">
        <v>292</v>
      </c>
      <c r="D248" s="2">
        <v>4</v>
      </c>
      <c r="E248" s="2" t="s">
        <v>14</v>
      </c>
      <c r="F248" s="2" t="s">
        <v>282</v>
      </c>
      <c r="G248" s="3">
        <v>1.07</v>
      </c>
      <c r="H248" s="3">
        <v>-4.09</v>
      </c>
      <c r="I248" s="3">
        <v>14.7</v>
      </c>
      <c r="J248" s="3">
        <v>6.89</v>
      </c>
      <c r="K248" s="3">
        <v>13.47</v>
      </c>
      <c r="L248" s="21">
        <v>10.63</v>
      </c>
      <c r="M248" s="3">
        <v>1.98</v>
      </c>
      <c r="N248" s="2" t="s">
        <v>16</v>
      </c>
      <c r="O248" s="4" t="s">
        <v>17</v>
      </c>
      <c r="P248" s="18" t="s">
        <v>18</v>
      </c>
      <c r="Q248" s="5">
        <f t="shared" si="9"/>
        <v>12.615</v>
      </c>
      <c r="R248" s="5">
        <f t="shared" si="10"/>
        <v>8.76</v>
      </c>
      <c r="S248" s="5">
        <f t="shared" si="10"/>
        <v>7.7250000000000005</v>
      </c>
      <c r="T248" s="23">
        <f>('Investor-Inputs'!$G$19 * Q248) + ('Investor-Inputs'!$J$19 * R248) + ('Investor-Inputs'!$N$19 * S248)</f>
        <v>63.089999999999996</v>
      </c>
      <c r="U248" s="27">
        <f t="shared" si="11"/>
        <v>220</v>
      </c>
    </row>
    <row r="249" spans="3:21" x14ac:dyDescent="0.25">
      <c r="C249" s="2" t="s">
        <v>293</v>
      </c>
      <c r="D249" s="2">
        <v>4</v>
      </c>
      <c r="E249" s="2" t="s">
        <v>14</v>
      </c>
      <c r="F249" s="2" t="s">
        <v>282</v>
      </c>
      <c r="G249" s="3">
        <v>3.73</v>
      </c>
      <c r="H249" s="3">
        <v>-0.12</v>
      </c>
      <c r="I249" s="3">
        <v>13.47</v>
      </c>
      <c r="J249" s="3">
        <v>7.07</v>
      </c>
      <c r="K249" s="3">
        <v>12.81</v>
      </c>
      <c r="L249" s="21">
        <v>10.54</v>
      </c>
      <c r="M249" s="3">
        <v>1.91</v>
      </c>
      <c r="N249" s="2" t="s">
        <v>16</v>
      </c>
      <c r="O249" s="4" t="s">
        <v>17</v>
      </c>
      <c r="P249" s="18" t="s">
        <v>18</v>
      </c>
      <c r="Q249" s="5">
        <f t="shared" si="9"/>
        <v>11.793000000000001</v>
      </c>
      <c r="R249" s="5">
        <f t="shared" si="10"/>
        <v>8.8049999999999997</v>
      </c>
      <c r="S249" s="5">
        <f t="shared" si="10"/>
        <v>7.36</v>
      </c>
      <c r="T249" s="23">
        <f>('Investor-Inputs'!$G$19 * Q249) + ('Investor-Inputs'!$J$19 * R249) + ('Investor-Inputs'!$N$19 * S249)</f>
        <v>60.349000000000004</v>
      </c>
      <c r="U249" s="27">
        <f t="shared" si="11"/>
        <v>240</v>
      </c>
    </row>
    <row r="250" spans="3:21" x14ac:dyDescent="0.25">
      <c r="C250" s="2" t="s">
        <v>294</v>
      </c>
      <c r="D250" s="2">
        <v>5</v>
      </c>
      <c r="E250" s="2" t="s">
        <v>14</v>
      </c>
      <c r="F250" s="2" t="s">
        <v>282</v>
      </c>
      <c r="G250" s="3">
        <v>18.52</v>
      </c>
      <c r="H250" s="3">
        <v>16.559999999999999</v>
      </c>
      <c r="I250" s="3">
        <v>23.85</v>
      </c>
      <c r="J250" s="3">
        <v>17.39</v>
      </c>
      <c r="K250" s="3">
        <v>25.57</v>
      </c>
      <c r="L250" s="21">
        <v>19.600000000000001</v>
      </c>
      <c r="M250" s="3">
        <v>3.22</v>
      </c>
      <c r="N250" s="2" t="s">
        <v>16</v>
      </c>
      <c r="O250" s="4" t="s">
        <v>28</v>
      </c>
      <c r="P250" s="18" t="s">
        <v>18</v>
      </c>
      <c r="Q250" s="5">
        <f t="shared" si="9"/>
        <v>22.325000000000003</v>
      </c>
      <c r="R250" s="5">
        <f t="shared" si="10"/>
        <v>18.495000000000001</v>
      </c>
      <c r="S250" s="5">
        <f t="shared" si="10"/>
        <v>14.395</v>
      </c>
      <c r="T250" s="23">
        <f>('Investor-Inputs'!$G$19 * Q250) + ('Investor-Inputs'!$J$19 * R250) + ('Investor-Inputs'!$N$19 * S250)</f>
        <v>118.36</v>
      </c>
      <c r="U250" s="27">
        <f t="shared" si="11"/>
        <v>17</v>
      </c>
    </row>
    <row r="251" spans="3:21" x14ac:dyDescent="0.25">
      <c r="C251" s="2" t="s">
        <v>295</v>
      </c>
      <c r="D251" s="2">
        <v>4</v>
      </c>
      <c r="E251" s="2" t="s">
        <v>14</v>
      </c>
      <c r="F251" s="2" t="s">
        <v>282</v>
      </c>
      <c r="G251" s="3">
        <v>6.46</v>
      </c>
      <c r="H251" s="3">
        <v>4.26</v>
      </c>
      <c r="I251" s="3">
        <v>14.29</v>
      </c>
      <c r="J251" s="3">
        <v>10.130000000000001</v>
      </c>
      <c r="K251" s="3">
        <v>12.04</v>
      </c>
      <c r="L251" s="21">
        <v>10.99</v>
      </c>
      <c r="M251" s="3">
        <v>1.31</v>
      </c>
      <c r="N251" s="2" t="s">
        <v>16</v>
      </c>
      <c r="O251" s="4" t="s">
        <v>24</v>
      </c>
      <c r="P251" s="18" t="s">
        <v>18</v>
      </c>
      <c r="Q251" s="5">
        <f t="shared" si="9"/>
        <v>11.736000000000001</v>
      </c>
      <c r="R251" s="5">
        <f t="shared" si="10"/>
        <v>10.56</v>
      </c>
      <c r="S251" s="5">
        <f t="shared" si="10"/>
        <v>6.6749999999999998</v>
      </c>
      <c r="T251" s="23">
        <f>('Investor-Inputs'!$G$19 * Q251) + ('Investor-Inputs'!$J$19 * R251) + ('Investor-Inputs'!$N$19 * S251)</f>
        <v>63.003</v>
      </c>
      <c r="U251" s="27">
        <f t="shared" si="11"/>
        <v>222</v>
      </c>
    </row>
    <row r="252" spans="3:21" x14ac:dyDescent="0.25">
      <c r="C252" s="2" t="s">
        <v>296</v>
      </c>
      <c r="D252" s="2">
        <v>5</v>
      </c>
      <c r="E252" s="2" t="s">
        <v>14</v>
      </c>
      <c r="F252" s="2" t="s">
        <v>282</v>
      </c>
      <c r="G252" s="3">
        <v>1.95</v>
      </c>
      <c r="H252" s="3">
        <v>-2</v>
      </c>
      <c r="I252" s="3">
        <v>14.14</v>
      </c>
      <c r="J252" s="3">
        <v>6.97</v>
      </c>
      <c r="K252" s="3">
        <v>13.8</v>
      </c>
      <c r="L252" s="21">
        <v>10.91</v>
      </c>
      <c r="M252" s="3">
        <v>1.85</v>
      </c>
      <c r="N252" s="2" t="s">
        <v>16</v>
      </c>
      <c r="O252" s="4" t="s">
        <v>17</v>
      </c>
      <c r="P252" s="18" t="s">
        <v>18</v>
      </c>
      <c r="Q252" s="5">
        <f t="shared" si="9"/>
        <v>12.556000000000001</v>
      </c>
      <c r="R252" s="5">
        <f t="shared" si="10"/>
        <v>8.94</v>
      </c>
      <c r="S252" s="5">
        <f t="shared" si="10"/>
        <v>7.8250000000000002</v>
      </c>
      <c r="T252" s="23">
        <f>('Investor-Inputs'!$G$19 * Q252) + ('Investor-Inputs'!$J$19 * R252) + ('Investor-Inputs'!$N$19 * S252)</f>
        <v>63.373000000000005</v>
      </c>
      <c r="U252" s="27">
        <f t="shared" si="11"/>
        <v>218</v>
      </c>
    </row>
    <row r="253" spans="3:21" x14ac:dyDescent="0.25">
      <c r="C253" s="2" t="s">
        <v>297</v>
      </c>
      <c r="D253" s="2">
        <v>4</v>
      </c>
      <c r="E253" s="2" t="s">
        <v>14</v>
      </c>
      <c r="F253" s="2" t="s">
        <v>298</v>
      </c>
      <c r="G253" s="3">
        <v>4.6500000000000004</v>
      </c>
      <c r="H253" s="3">
        <v>2.83</v>
      </c>
      <c r="I253" s="3">
        <v>8.58</v>
      </c>
      <c r="J253" s="3">
        <v>6.85</v>
      </c>
      <c r="K253" s="3">
        <v>8.1300000000000008</v>
      </c>
      <c r="L253" s="21">
        <v>7.51</v>
      </c>
      <c r="M253" s="3">
        <v>1.8</v>
      </c>
      <c r="N253" s="2" t="s">
        <v>242</v>
      </c>
      <c r="O253" s="4" t="s">
        <v>24</v>
      </c>
      <c r="P253" s="18" t="s">
        <v>18</v>
      </c>
      <c r="Q253" s="5">
        <f t="shared" si="9"/>
        <v>7.4970000000000008</v>
      </c>
      <c r="R253" s="5">
        <f t="shared" si="10"/>
        <v>7.18</v>
      </c>
      <c r="S253" s="5">
        <f t="shared" si="10"/>
        <v>4.9650000000000007</v>
      </c>
      <c r="T253" s="23">
        <f>('Investor-Inputs'!$G$19 * Q253) + ('Investor-Inputs'!$J$19 * R253) + ('Investor-Inputs'!$N$19 * S253)</f>
        <v>41.816000000000003</v>
      </c>
      <c r="U253" s="27">
        <f t="shared" si="11"/>
        <v>307</v>
      </c>
    </row>
    <row r="254" spans="3:21" x14ac:dyDescent="0.25">
      <c r="C254" s="2" t="s">
        <v>299</v>
      </c>
      <c r="D254" s="2">
        <v>4</v>
      </c>
      <c r="E254" s="2" t="s">
        <v>14</v>
      </c>
      <c r="F254" s="2" t="s">
        <v>298</v>
      </c>
      <c r="G254" s="3">
        <v>4.5199999999999996</v>
      </c>
      <c r="H254" s="3">
        <v>3.33</v>
      </c>
      <c r="I254" s="3">
        <v>7.04</v>
      </c>
      <c r="J254" s="3">
        <v>4.96</v>
      </c>
      <c r="K254" s="3">
        <v>10.19</v>
      </c>
      <c r="L254" s="21">
        <v>7.39</v>
      </c>
      <c r="M254" s="3">
        <v>2.19</v>
      </c>
      <c r="N254" s="2" t="s">
        <v>242</v>
      </c>
      <c r="O254" s="4" t="s">
        <v>28</v>
      </c>
      <c r="P254" s="18" t="s">
        <v>18</v>
      </c>
      <c r="Q254" s="5">
        <f t="shared" si="9"/>
        <v>7.9109999999999996</v>
      </c>
      <c r="R254" s="5">
        <f t="shared" si="10"/>
        <v>6.1749999999999998</v>
      </c>
      <c r="S254" s="5">
        <f t="shared" si="10"/>
        <v>6.1899999999999995</v>
      </c>
      <c r="T254" s="23">
        <f>('Investor-Inputs'!$G$19 * Q254) + ('Investor-Inputs'!$J$19 * R254) + ('Investor-Inputs'!$N$19 * S254)</f>
        <v>42.272999999999996</v>
      </c>
      <c r="U254" s="27">
        <f t="shared" si="11"/>
        <v>301</v>
      </c>
    </row>
    <row r="255" spans="3:21" x14ac:dyDescent="0.25">
      <c r="C255" s="2" t="s">
        <v>300</v>
      </c>
      <c r="D255" s="2">
        <v>4</v>
      </c>
      <c r="E255" s="2" t="s">
        <v>14</v>
      </c>
      <c r="F255" s="2" t="s">
        <v>298</v>
      </c>
      <c r="G255" s="3">
        <v>2.98</v>
      </c>
      <c r="H255" s="3">
        <v>2.0499999999999998</v>
      </c>
      <c r="I255" s="3">
        <v>9.1300000000000008</v>
      </c>
      <c r="J255" s="3">
        <v>6.65</v>
      </c>
      <c r="K255" s="3">
        <v>7.52</v>
      </c>
      <c r="L255" s="21">
        <v>7.5</v>
      </c>
      <c r="M255" s="3">
        <v>1.64</v>
      </c>
      <c r="N255" s="2" t="s">
        <v>242</v>
      </c>
      <c r="O255" s="4" t="s">
        <v>24</v>
      </c>
      <c r="P255" s="18" t="s">
        <v>18</v>
      </c>
      <c r="Q255" s="5">
        <f t="shared" si="9"/>
        <v>7.4120000000000008</v>
      </c>
      <c r="R255" s="5">
        <f t="shared" si="10"/>
        <v>7.0750000000000002</v>
      </c>
      <c r="S255" s="5">
        <f t="shared" si="10"/>
        <v>4.58</v>
      </c>
      <c r="T255" s="23">
        <f>('Investor-Inputs'!$G$19 * Q255) + ('Investor-Inputs'!$J$19 * R255) + ('Investor-Inputs'!$N$19 * S255)</f>
        <v>40.966000000000001</v>
      </c>
      <c r="U255" s="27">
        <f t="shared" si="11"/>
        <v>313</v>
      </c>
    </row>
    <row r="256" spans="3:21" x14ac:dyDescent="0.25">
      <c r="C256" s="2" t="s">
        <v>301</v>
      </c>
      <c r="D256" s="2">
        <v>4</v>
      </c>
      <c r="E256" s="2" t="s">
        <v>14</v>
      </c>
      <c r="F256" s="2" t="s">
        <v>298</v>
      </c>
      <c r="G256" s="3">
        <v>0.83</v>
      </c>
      <c r="H256" s="3">
        <v>-0.06</v>
      </c>
      <c r="I256" s="3">
        <v>8.41</v>
      </c>
      <c r="J256" s="3">
        <v>5.12</v>
      </c>
      <c r="K256" s="3">
        <v>8.7100000000000009</v>
      </c>
      <c r="L256" s="21">
        <v>7.24</v>
      </c>
      <c r="M256" s="3">
        <v>1.73</v>
      </c>
      <c r="N256" s="2" t="s">
        <v>242</v>
      </c>
      <c r="O256" s="4" t="s">
        <v>17</v>
      </c>
      <c r="P256" s="18" t="s">
        <v>18</v>
      </c>
      <c r="Q256" s="5">
        <f t="shared" si="9"/>
        <v>7.7190000000000012</v>
      </c>
      <c r="R256" s="5">
        <f t="shared" si="10"/>
        <v>6.18</v>
      </c>
      <c r="S256" s="5">
        <f t="shared" si="10"/>
        <v>5.2200000000000006</v>
      </c>
      <c r="T256" s="23">
        <f>('Investor-Inputs'!$G$19 * Q256) + ('Investor-Inputs'!$J$19 * R256) + ('Investor-Inputs'!$N$19 * S256)</f>
        <v>40.737000000000002</v>
      </c>
      <c r="U256" s="27">
        <f t="shared" si="11"/>
        <v>317</v>
      </c>
    </row>
    <row r="257" spans="3:21" x14ac:dyDescent="0.25">
      <c r="C257" s="2" t="s">
        <v>302</v>
      </c>
      <c r="D257" s="2">
        <v>5</v>
      </c>
      <c r="E257" s="2" t="s">
        <v>14</v>
      </c>
      <c r="F257" s="2" t="s">
        <v>298</v>
      </c>
      <c r="G257" s="3">
        <v>4.6100000000000003</v>
      </c>
      <c r="H257" s="3">
        <v>2.54</v>
      </c>
      <c r="I257" s="3">
        <v>9.4600000000000009</v>
      </c>
      <c r="J257" s="3">
        <v>7.05</v>
      </c>
      <c r="K257" s="3">
        <v>8.56</v>
      </c>
      <c r="L257" s="21">
        <v>8.0500000000000007</v>
      </c>
      <c r="M257" s="3">
        <v>1.78</v>
      </c>
      <c r="N257" s="2" t="s">
        <v>28</v>
      </c>
      <c r="O257" s="4" t="s">
        <v>17</v>
      </c>
      <c r="P257" s="18" t="s">
        <v>18</v>
      </c>
      <c r="Q257" s="5">
        <f t="shared" si="9"/>
        <v>8.0640000000000001</v>
      </c>
      <c r="R257" s="5">
        <f t="shared" si="10"/>
        <v>7.5500000000000007</v>
      </c>
      <c r="S257" s="5">
        <f t="shared" si="10"/>
        <v>5.17</v>
      </c>
      <c r="T257" s="23">
        <f>('Investor-Inputs'!$G$19 * Q257) + ('Investor-Inputs'!$J$19 * R257) + ('Investor-Inputs'!$N$19 * S257)</f>
        <v>44.462000000000003</v>
      </c>
      <c r="U257" s="27">
        <f t="shared" si="11"/>
        <v>297</v>
      </c>
    </row>
    <row r="258" spans="3:21" x14ac:dyDescent="0.25">
      <c r="C258" s="2" t="s">
        <v>303</v>
      </c>
      <c r="D258" s="2">
        <v>4</v>
      </c>
      <c r="E258" s="2" t="s">
        <v>14</v>
      </c>
      <c r="F258" s="2" t="s">
        <v>298</v>
      </c>
      <c r="G258" s="3">
        <v>6.66</v>
      </c>
      <c r="H258" s="3">
        <v>3.78</v>
      </c>
      <c r="I258" s="3">
        <v>10.65</v>
      </c>
      <c r="J258" s="3">
        <v>7.52</v>
      </c>
      <c r="K258" s="3">
        <v>8.02</v>
      </c>
      <c r="L258" s="21">
        <v>8.35</v>
      </c>
      <c r="M258" s="3">
        <v>2.54</v>
      </c>
      <c r="N258" s="2" t="s">
        <v>28</v>
      </c>
      <c r="O258" s="4" t="s">
        <v>17</v>
      </c>
      <c r="P258" s="18" t="s">
        <v>18</v>
      </c>
      <c r="Q258" s="5">
        <f t="shared" si="9"/>
        <v>8.27</v>
      </c>
      <c r="R258" s="5">
        <f t="shared" si="10"/>
        <v>7.9349999999999996</v>
      </c>
      <c r="S258" s="5">
        <f t="shared" si="10"/>
        <v>5.2799999999999994</v>
      </c>
      <c r="T258" s="23">
        <f>('Investor-Inputs'!$G$19 * Q258) + ('Investor-Inputs'!$J$19 * R258) + ('Investor-Inputs'!$N$19 * S258)</f>
        <v>45.96</v>
      </c>
      <c r="U258" s="27">
        <f t="shared" si="11"/>
        <v>291</v>
      </c>
    </row>
    <row r="259" spans="3:21" x14ac:dyDescent="0.25">
      <c r="C259" s="2" t="s">
        <v>304</v>
      </c>
      <c r="D259" s="2">
        <v>5</v>
      </c>
      <c r="E259" s="2" t="s">
        <v>14</v>
      </c>
      <c r="F259" s="2" t="s">
        <v>298</v>
      </c>
      <c r="G259" s="3">
        <v>6.85</v>
      </c>
      <c r="H259" s="3">
        <v>5.35</v>
      </c>
      <c r="I259" s="3">
        <v>8.1199999999999992</v>
      </c>
      <c r="J259" s="3">
        <v>7.51</v>
      </c>
      <c r="K259" s="3">
        <v>8</v>
      </c>
      <c r="L259" s="21">
        <v>7.83</v>
      </c>
      <c r="M259" s="3">
        <v>1.8</v>
      </c>
      <c r="N259" s="2" t="s">
        <v>28</v>
      </c>
      <c r="O259" s="4" t="s">
        <v>24</v>
      </c>
      <c r="P259" s="18" t="s">
        <v>18</v>
      </c>
      <c r="Q259" s="5">
        <f t="shared" si="9"/>
        <v>7.2479999999999993</v>
      </c>
      <c r="R259" s="5">
        <f t="shared" si="10"/>
        <v>7.67</v>
      </c>
      <c r="S259" s="5">
        <f t="shared" si="10"/>
        <v>4.9000000000000004</v>
      </c>
      <c r="T259" s="23">
        <f>('Investor-Inputs'!$G$19 * Q259) + ('Investor-Inputs'!$J$19 * R259) + ('Investor-Inputs'!$N$19 * S259)</f>
        <v>41.984000000000002</v>
      </c>
      <c r="U259" s="27">
        <f t="shared" si="11"/>
        <v>305</v>
      </c>
    </row>
    <row r="260" spans="3:21" x14ac:dyDescent="0.25">
      <c r="C260" s="2" t="s">
        <v>305</v>
      </c>
      <c r="D260" s="2">
        <v>5</v>
      </c>
      <c r="E260" s="2" t="s">
        <v>14</v>
      </c>
      <c r="F260" s="2" t="s">
        <v>298</v>
      </c>
      <c r="G260" s="3">
        <v>4.8</v>
      </c>
      <c r="H260" s="3">
        <v>4.03</v>
      </c>
      <c r="I260" s="3">
        <v>10.36</v>
      </c>
      <c r="J260" s="3">
        <v>8.0299999999999994</v>
      </c>
      <c r="K260" s="2"/>
      <c r="L260" s="20"/>
      <c r="M260" s="3">
        <v>0.62</v>
      </c>
      <c r="N260" s="2" t="s">
        <v>242</v>
      </c>
      <c r="O260" s="4" t="s">
        <v>28</v>
      </c>
      <c r="P260" s="18" t="s">
        <v>18</v>
      </c>
      <c r="Q260" s="5">
        <f t="shared" si="9"/>
        <v>4.1440000000000001</v>
      </c>
      <c r="R260" s="5">
        <f t="shared" si="10"/>
        <v>4.0149999999999997</v>
      </c>
      <c r="S260" s="5">
        <f t="shared" si="10"/>
        <v>0.31</v>
      </c>
      <c r="T260" s="23">
        <f>('Investor-Inputs'!$G$19 * Q260) + ('Investor-Inputs'!$J$19 * R260) + ('Investor-Inputs'!$N$19 * S260)</f>
        <v>20.771999999999998</v>
      </c>
      <c r="U260" s="27">
        <f t="shared" si="11"/>
        <v>575</v>
      </c>
    </row>
    <row r="261" spans="3:21" x14ac:dyDescent="0.25">
      <c r="C261" s="2" t="s">
        <v>306</v>
      </c>
      <c r="D261" s="2">
        <v>5</v>
      </c>
      <c r="E261" s="2" t="s">
        <v>14</v>
      </c>
      <c r="F261" s="2" t="s">
        <v>298</v>
      </c>
      <c r="G261" s="3">
        <v>4.71</v>
      </c>
      <c r="H261" s="3">
        <v>5.18</v>
      </c>
      <c r="I261" s="3">
        <v>11.87</v>
      </c>
      <c r="J261" s="3">
        <v>8.4</v>
      </c>
      <c r="K261" s="3">
        <v>11.2</v>
      </c>
      <c r="L261" s="21">
        <v>9.86</v>
      </c>
      <c r="M261" s="3">
        <v>1.25</v>
      </c>
      <c r="N261" s="2" t="s">
        <v>242</v>
      </c>
      <c r="O261" s="4" t="s">
        <v>28</v>
      </c>
      <c r="P261" s="18" t="s">
        <v>18</v>
      </c>
      <c r="Q261" s="5">
        <f t="shared" si="9"/>
        <v>10.347999999999999</v>
      </c>
      <c r="R261" s="5">
        <f t="shared" si="10"/>
        <v>9.129999999999999</v>
      </c>
      <c r="S261" s="5">
        <f t="shared" si="10"/>
        <v>6.2249999999999996</v>
      </c>
      <c r="T261" s="23">
        <f>('Investor-Inputs'!$G$19 * Q261) + ('Investor-Inputs'!$J$19 * R261) + ('Investor-Inputs'!$N$19 * S261)</f>
        <v>55.528999999999996</v>
      </c>
      <c r="U261" s="27">
        <f t="shared" si="11"/>
        <v>264</v>
      </c>
    </row>
    <row r="262" spans="3:21" x14ac:dyDescent="0.25">
      <c r="C262" s="2" t="s">
        <v>307</v>
      </c>
      <c r="D262" s="2">
        <v>4</v>
      </c>
      <c r="E262" s="2" t="s">
        <v>14</v>
      </c>
      <c r="F262" s="2" t="s">
        <v>298</v>
      </c>
      <c r="G262" s="3">
        <v>5.17</v>
      </c>
      <c r="H262" s="3">
        <v>3.87</v>
      </c>
      <c r="I262" s="3">
        <v>9.31</v>
      </c>
      <c r="J262" s="3">
        <v>6.91</v>
      </c>
      <c r="K262" s="3">
        <v>9.06</v>
      </c>
      <c r="L262" s="21">
        <v>8.14</v>
      </c>
      <c r="M262" s="3">
        <v>1.5</v>
      </c>
      <c r="N262" s="2" t="s">
        <v>28</v>
      </c>
      <c r="O262" s="4" t="s">
        <v>28</v>
      </c>
      <c r="P262" s="18" t="s">
        <v>18</v>
      </c>
      <c r="Q262" s="5">
        <f t="shared" si="9"/>
        <v>8.2540000000000013</v>
      </c>
      <c r="R262" s="5">
        <f t="shared" si="10"/>
        <v>7.5250000000000004</v>
      </c>
      <c r="S262" s="5">
        <f t="shared" si="10"/>
        <v>5.28</v>
      </c>
      <c r="T262" s="23">
        <f>('Investor-Inputs'!$G$19 * Q262) + ('Investor-Inputs'!$J$19 * R262) + ('Investor-Inputs'!$N$19 * S262)</f>
        <v>45.092000000000006</v>
      </c>
      <c r="U262" s="27">
        <f t="shared" si="11"/>
        <v>295</v>
      </c>
    </row>
    <row r="263" spans="3:21" x14ac:dyDescent="0.25">
      <c r="C263" s="2" t="s">
        <v>308</v>
      </c>
      <c r="D263" s="2">
        <v>4</v>
      </c>
      <c r="E263" s="2" t="s">
        <v>14</v>
      </c>
      <c r="F263" s="2" t="s">
        <v>309</v>
      </c>
      <c r="G263" s="3">
        <v>1.98</v>
      </c>
      <c r="H263" s="3">
        <v>0.84</v>
      </c>
      <c r="I263" s="3">
        <v>9.2799999999999994</v>
      </c>
      <c r="J263" s="3">
        <v>6.13</v>
      </c>
      <c r="K263" s="3">
        <v>8.23</v>
      </c>
      <c r="L263" s="21">
        <v>7.43</v>
      </c>
      <c r="M263" s="3">
        <v>1.94</v>
      </c>
      <c r="N263" s="2" t="s">
        <v>171</v>
      </c>
      <c r="O263" s="4" t="s">
        <v>24</v>
      </c>
      <c r="P263" s="18" t="s">
        <v>18</v>
      </c>
      <c r="Q263" s="5">
        <f t="shared" si="9"/>
        <v>7.827</v>
      </c>
      <c r="R263" s="5">
        <f t="shared" si="10"/>
        <v>6.7799999999999994</v>
      </c>
      <c r="S263" s="5">
        <f t="shared" si="10"/>
        <v>5.085</v>
      </c>
      <c r="T263" s="23">
        <f>('Investor-Inputs'!$G$19 * Q263) + ('Investor-Inputs'!$J$19 * R263) + ('Investor-Inputs'!$N$19 * S263)</f>
        <v>42.125999999999998</v>
      </c>
      <c r="U263" s="27">
        <f t="shared" si="11"/>
        <v>303</v>
      </c>
    </row>
    <row r="264" spans="3:21" x14ac:dyDescent="0.25">
      <c r="C264" s="2" t="s">
        <v>310</v>
      </c>
      <c r="D264" s="2">
        <v>5</v>
      </c>
      <c r="E264" s="2" t="s">
        <v>14</v>
      </c>
      <c r="F264" s="2" t="s">
        <v>309</v>
      </c>
      <c r="G264" s="3">
        <v>7.32</v>
      </c>
      <c r="H264" s="3">
        <v>5.76</v>
      </c>
      <c r="I264" s="3">
        <v>11</v>
      </c>
      <c r="J264" s="3">
        <v>8.67</v>
      </c>
      <c r="K264" s="3">
        <v>9.34</v>
      </c>
      <c r="L264" s="21">
        <v>9.18</v>
      </c>
      <c r="M264" s="3">
        <v>2.1</v>
      </c>
      <c r="N264" s="2" t="s">
        <v>171</v>
      </c>
      <c r="O264" s="4" t="s">
        <v>17</v>
      </c>
      <c r="P264" s="18" t="s">
        <v>18</v>
      </c>
      <c r="Q264" s="5">
        <f t="shared" ref="Q264:Q327" si="12">I264*0.4+K264*0.5</f>
        <v>9.07</v>
      </c>
      <c r="R264" s="5">
        <f t="shared" ref="R264:S327" si="13">(L264+J264)/2</f>
        <v>8.9250000000000007</v>
      </c>
      <c r="S264" s="5">
        <f t="shared" si="13"/>
        <v>5.72</v>
      </c>
      <c r="T264" s="23">
        <f>('Investor-Inputs'!$G$19 * Q264) + ('Investor-Inputs'!$J$19 * R264) + ('Investor-Inputs'!$N$19 * S264)</f>
        <v>50.78</v>
      </c>
      <c r="U264" s="27">
        <f t="shared" ref="U264:U327" si="14">_xlfn.RANK.EQ(T264,$T$7:$T$592,0)</f>
        <v>279</v>
      </c>
    </row>
    <row r="265" spans="3:21" x14ac:dyDescent="0.25">
      <c r="C265" s="2" t="s">
        <v>311</v>
      </c>
      <c r="D265" s="2">
        <v>4</v>
      </c>
      <c r="E265" s="2" t="s">
        <v>14</v>
      </c>
      <c r="F265" s="2" t="s">
        <v>309</v>
      </c>
      <c r="G265" s="3">
        <v>12.29</v>
      </c>
      <c r="H265" s="3">
        <v>10.69</v>
      </c>
      <c r="I265" s="3">
        <v>13.62</v>
      </c>
      <c r="J265" s="3">
        <v>10.62</v>
      </c>
      <c r="K265" s="3">
        <v>11.46</v>
      </c>
      <c r="L265" s="21">
        <v>11.25</v>
      </c>
      <c r="M265" s="3">
        <v>5.53</v>
      </c>
      <c r="N265" s="2" t="s">
        <v>242</v>
      </c>
      <c r="O265" s="4" t="s">
        <v>28</v>
      </c>
      <c r="P265" s="18" t="s">
        <v>18</v>
      </c>
      <c r="Q265" s="5">
        <f t="shared" si="12"/>
        <v>11.178000000000001</v>
      </c>
      <c r="R265" s="5">
        <f t="shared" si="13"/>
        <v>10.934999999999999</v>
      </c>
      <c r="S265" s="5">
        <f t="shared" si="13"/>
        <v>8.495000000000001</v>
      </c>
      <c r="T265" s="23">
        <f>('Investor-Inputs'!$G$19 * Q265) + ('Investor-Inputs'!$J$19 * R265) + ('Investor-Inputs'!$N$19 * S265)</f>
        <v>63.899000000000001</v>
      </c>
      <c r="U265" s="27">
        <f t="shared" si="14"/>
        <v>216</v>
      </c>
    </row>
    <row r="266" spans="3:21" x14ac:dyDescent="0.25">
      <c r="C266" s="2" t="s">
        <v>312</v>
      </c>
      <c r="D266" s="2">
        <v>5</v>
      </c>
      <c r="E266" s="2" t="s">
        <v>14</v>
      </c>
      <c r="F266" s="2" t="s">
        <v>309</v>
      </c>
      <c r="G266" s="3">
        <v>3.8</v>
      </c>
      <c r="H266" s="3">
        <v>1.42</v>
      </c>
      <c r="I266" s="3">
        <v>7.8</v>
      </c>
      <c r="J266" s="3">
        <v>5.72</v>
      </c>
      <c r="K266" s="3">
        <v>7.48</v>
      </c>
      <c r="L266" s="21">
        <v>6.84</v>
      </c>
      <c r="M266" s="3">
        <v>5.28</v>
      </c>
      <c r="N266" s="2" t="s">
        <v>171</v>
      </c>
      <c r="O266" s="4" t="s">
        <v>110</v>
      </c>
      <c r="P266" s="18" t="s">
        <v>18</v>
      </c>
      <c r="Q266" s="5">
        <f t="shared" si="12"/>
        <v>6.86</v>
      </c>
      <c r="R266" s="5">
        <f t="shared" si="13"/>
        <v>6.2799999999999994</v>
      </c>
      <c r="S266" s="5">
        <f t="shared" si="13"/>
        <v>6.3800000000000008</v>
      </c>
      <c r="T266" s="23">
        <f>('Investor-Inputs'!$G$19 * Q266) + ('Investor-Inputs'!$J$19 * R266) + ('Investor-Inputs'!$N$19 * S266)</f>
        <v>39.520000000000003</v>
      </c>
      <c r="U266" s="27">
        <f t="shared" si="14"/>
        <v>327</v>
      </c>
    </row>
    <row r="267" spans="3:21" x14ac:dyDescent="0.25">
      <c r="C267" s="2" t="s">
        <v>313</v>
      </c>
      <c r="D267" s="2">
        <v>4</v>
      </c>
      <c r="E267" s="2" t="s">
        <v>14</v>
      </c>
      <c r="F267" s="2" t="s">
        <v>309</v>
      </c>
      <c r="G267" s="3">
        <v>6.5</v>
      </c>
      <c r="H267" s="3">
        <v>4.74</v>
      </c>
      <c r="I267" s="3">
        <v>10.74</v>
      </c>
      <c r="J267" s="3">
        <v>7.65</v>
      </c>
      <c r="K267" s="3">
        <v>10.039999999999999</v>
      </c>
      <c r="L267" s="21">
        <v>9.17</v>
      </c>
      <c r="M267" s="3">
        <v>1.8</v>
      </c>
      <c r="N267" s="2" t="s">
        <v>242</v>
      </c>
      <c r="O267" s="4" t="s">
        <v>28</v>
      </c>
      <c r="P267" s="18" t="s">
        <v>18</v>
      </c>
      <c r="Q267" s="5">
        <f t="shared" si="12"/>
        <v>9.3159999999999989</v>
      </c>
      <c r="R267" s="5">
        <f t="shared" si="13"/>
        <v>8.41</v>
      </c>
      <c r="S267" s="5">
        <f t="shared" si="13"/>
        <v>5.92</v>
      </c>
      <c r="T267" s="23">
        <f>('Investor-Inputs'!$G$19 * Q267) + ('Investor-Inputs'!$J$19 * R267) + ('Investor-Inputs'!$N$19 * S267)</f>
        <v>50.688000000000002</v>
      </c>
      <c r="U267" s="27">
        <f t="shared" si="14"/>
        <v>281</v>
      </c>
    </row>
    <row r="268" spans="3:21" x14ac:dyDescent="0.25">
      <c r="C268" s="2" t="s">
        <v>314</v>
      </c>
      <c r="D268" s="2">
        <v>4</v>
      </c>
      <c r="E268" s="2" t="s">
        <v>14</v>
      </c>
      <c r="F268" s="2" t="s">
        <v>309</v>
      </c>
      <c r="G268" s="3">
        <v>3.81</v>
      </c>
      <c r="H268" s="3">
        <v>2.31</v>
      </c>
      <c r="I268" s="3">
        <v>9.5399999999999991</v>
      </c>
      <c r="J268" s="3">
        <v>6.36</v>
      </c>
      <c r="K268" s="3">
        <v>9.23</v>
      </c>
      <c r="L268" s="21">
        <v>8.16</v>
      </c>
      <c r="M268" s="3">
        <v>1.72</v>
      </c>
      <c r="N268" s="2" t="s">
        <v>242</v>
      </c>
      <c r="O268" s="4" t="s">
        <v>17</v>
      </c>
      <c r="P268" s="18" t="s">
        <v>18</v>
      </c>
      <c r="Q268" s="5">
        <f t="shared" si="12"/>
        <v>8.4310000000000009</v>
      </c>
      <c r="R268" s="5">
        <f t="shared" si="13"/>
        <v>7.26</v>
      </c>
      <c r="S268" s="5">
        <f t="shared" si="13"/>
        <v>5.4750000000000005</v>
      </c>
      <c r="T268" s="23">
        <f>('Investor-Inputs'!$G$19 * Q268) + ('Investor-Inputs'!$J$19 * R268) + ('Investor-Inputs'!$N$19 * S268)</f>
        <v>45.288000000000004</v>
      </c>
      <c r="U268" s="27">
        <f t="shared" si="14"/>
        <v>293</v>
      </c>
    </row>
    <row r="269" spans="3:21" x14ac:dyDescent="0.25">
      <c r="C269" s="2" t="s">
        <v>315</v>
      </c>
      <c r="D269" s="2">
        <v>4</v>
      </c>
      <c r="E269" s="2" t="s">
        <v>14</v>
      </c>
      <c r="F269" s="2" t="s">
        <v>316</v>
      </c>
      <c r="G269" s="3">
        <v>5.78</v>
      </c>
      <c r="H269" s="3">
        <v>5.82</v>
      </c>
      <c r="I269" s="3">
        <v>6.87</v>
      </c>
      <c r="J269" s="3">
        <v>6.55</v>
      </c>
      <c r="K269" s="3">
        <v>5.89</v>
      </c>
      <c r="L269" s="21">
        <v>6.44</v>
      </c>
      <c r="M269" s="3">
        <v>1.81</v>
      </c>
      <c r="N269" s="2" t="s">
        <v>229</v>
      </c>
      <c r="O269" s="4" t="s">
        <v>17</v>
      </c>
      <c r="P269" s="18" t="s">
        <v>18</v>
      </c>
      <c r="Q269" s="5">
        <f t="shared" si="12"/>
        <v>5.6929999999999996</v>
      </c>
      <c r="R269" s="5">
        <f t="shared" si="13"/>
        <v>6.4950000000000001</v>
      </c>
      <c r="S269" s="5">
        <f t="shared" si="13"/>
        <v>3.8499999999999996</v>
      </c>
      <c r="T269" s="23">
        <f>('Investor-Inputs'!$G$19 * Q269) + ('Investor-Inputs'!$J$19 * R269) + ('Investor-Inputs'!$N$19 * S269)</f>
        <v>33.919000000000004</v>
      </c>
      <c r="U269" s="27">
        <f t="shared" si="14"/>
        <v>436</v>
      </c>
    </row>
    <row r="270" spans="3:21" x14ac:dyDescent="0.25">
      <c r="C270" s="2" t="s">
        <v>317</v>
      </c>
      <c r="D270" s="2">
        <v>4</v>
      </c>
      <c r="E270" s="2" t="s">
        <v>14</v>
      </c>
      <c r="F270" s="2" t="s">
        <v>316</v>
      </c>
      <c r="G270" s="3">
        <v>5.77</v>
      </c>
      <c r="H270" s="3">
        <v>5.85</v>
      </c>
      <c r="I270" s="3">
        <v>6.81</v>
      </c>
      <c r="J270" s="3">
        <v>6.53</v>
      </c>
      <c r="K270" s="3">
        <v>5.9</v>
      </c>
      <c r="L270" s="21">
        <v>6.4</v>
      </c>
      <c r="M270" s="3">
        <v>2.5099999999999998</v>
      </c>
      <c r="N270" s="2" t="s">
        <v>229</v>
      </c>
      <c r="O270" s="4" t="s">
        <v>24</v>
      </c>
      <c r="P270" s="18" t="s">
        <v>18</v>
      </c>
      <c r="Q270" s="5">
        <f t="shared" si="12"/>
        <v>5.6740000000000004</v>
      </c>
      <c r="R270" s="5">
        <f t="shared" si="13"/>
        <v>6.4649999999999999</v>
      </c>
      <c r="S270" s="5">
        <f t="shared" si="13"/>
        <v>4.2050000000000001</v>
      </c>
      <c r="T270" s="23">
        <f>('Investor-Inputs'!$G$19 * Q270) + ('Investor-Inputs'!$J$19 * R270) + ('Investor-Inputs'!$N$19 * S270)</f>
        <v>34.157000000000004</v>
      </c>
      <c r="U270" s="27">
        <f t="shared" si="14"/>
        <v>416</v>
      </c>
    </row>
    <row r="271" spans="3:21" x14ac:dyDescent="0.25">
      <c r="C271" s="2" t="s">
        <v>318</v>
      </c>
      <c r="D271" s="2">
        <v>4</v>
      </c>
      <c r="E271" s="2" t="s">
        <v>14</v>
      </c>
      <c r="F271" s="2" t="s">
        <v>316</v>
      </c>
      <c r="G271" s="3">
        <v>5.84</v>
      </c>
      <c r="H271" s="3">
        <v>5.92</v>
      </c>
      <c r="I271" s="3">
        <v>6.92</v>
      </c>
      <c r="J271" s="3">
        <v>6.6</v>
      </c>
      <c r="K271" s="3">
        <v>5.93</v>
      </c>
      <c r="L271" s="21">
        <v>6.49</v>
      </c>
      <c r="M271" s="3">
        <v>7.31</v>
      </c>
      <c r="N271" s="2" t="s">
        <v>229</v>
      </c>
      <c r="O271" s="4" t="s">
        <v>17</v>
      </c>
      <c r="P271" s="18" t="s">
        <v>18</v>
      </c>
      <c r="Q271" s="5">
        <f t="shared" si="12"/>
        <v>5.7330000000000005</v>
      </c>
      <c r="R271" s="5">
        <f t="shared" si="13"/>
        <v>6.5449999999999999</v>
      </c>
      <c r="S271" s="5">
        <f t="shared" si="13"/>
        <v>6.6199999999999992</v>
      </c>
      <c r="T271" s="23">
        <f>('Investor-Inputs'!$G$19 * Q271) + ('Investor-Inputs'!$J$19 * R271) + ('Investor-Inputs'!$N$19 * S271)</f>
        <v>36.908999999999999</v>
      </c>
      <c r="U271" s="27">
        <f t="shared" si="14"/>
        <v>343</v>
      </c>
    </row>
    <row r="272" spans="3:21" x14ac:dyDescent="0.25">
      <c r="C272" s="2" t="s">
        <v>319</v>
      </c>
      <c r="D272" s="2">
        <v>4</v>
      </c>
      <c r="E272" s="2" t="s">
        <v>14</v>
      </c>
      <c r="F272" s="2" t="s">
        <v>316</v>
      </c>
      <c r="G272" s="3">
        <v>5.84</v>
      </c>
      <c r="H272" s="3">
        <v>5.91</v>
      </c>
      <c r="I272" s="3">
        <v>6.92</v>
      </c>
      <c r="J272" s="3">
        <v>6.61</v>
      </c>
      <c r="K272" s="3">
        <v>5.97</v>
      </c>
      <c r="L272" s="21">
        <v>6.5</v>
      </c>
      <c r="M272" s="3">
        <v>4.6500000000000004</v>
      </c>
      <c r="N272" s="2" t="s">
        <v>229</v>
      </c>
      <c r="O272" s="4" t="s">
        <v>17</v>
      </c>
      <c r="P272" s="18" t="s">
        <v>18</v>
      </c>
      <c r="Q272" s="5">
        <f t="shared" si="12"/>
        <v>5.7530000000000001</v>
      </c>
      <c r="R272" s="5">
        <f t="shared" si="13"/>
        <v>6.5549999999999997</v>
      </c>
      <c r="S272" s="5">
        <f t="shared" si="13"/>
        <v>5.3100000000000005</v>
      </c>
      <c r="T272" s="23">
        <f>('Investor-Inputs'!$G$19 * Q272) + ('Investor-Inputs'!$J$19 * R272) + ('Investor-Inputs'!$N$19 * S272)</f>
        <v>35.679000000000002</v>
      </c>
      <c r="U272" s="27">
        <f t="shared" si="14"/>
        <v>369</v>
      </c>
    </row>
    <row r="273" spans="3:21" x14ac:dyDescent="0.25">
      <c r="C273" s="2" t="s">
        <v>320</v>
      </c>
      <c r="D273" s="2">
        <v>5</v>
      </c>
      <c r="E273" s="2" t="s">
        <v>14</v>
      </c>
      <c r="F273" s="2" t="s">
        <v>316</v>
      </c>
      <c r="G273" s="3">
        <v>5.9</v>
      </c>
      <c r="H273" s="3">
        <v>5.95</v>
      </c>
      <c r="I273" s="3">
        <v>6.96</v>
      </c>
      <c r="J273" s="3">
        <v>6.62</v>
      </c>
      <c r="K273" s="3">
        <v>6.15</v>
      </c>
      <c r="L273" s="21">
        <v>6.62</v>
      </c>
      <c r="M273" s="3">
        <v>3.97</v>
      </c>
      <c r="N273" s="2" t="s">
        <v>229</v>
      </c>
      <c r="O273" s="4" t="s">
        <v>17</v>
      </c>
      <c r="P273" s="18" t="s">
        <v>18</v>
      </c>
      <c r="Q273" s="5">
        <f t="shared" si="12"/>
        <v>5.859</v>
      </c>
      <c r="R273" s="5">
        <f t="shared" si="13"/>
        <v>6.62</v>
      </c>
      <c r="S273" s="5">
        <f t="shared" si="13"/>
        <v>5.0600000000000005</v>
      </c>
      <c r="T273" s="23">
        <f>('Investor-Inputs'!$G$19 * Q273) + ('Investor-Inputs'!$J$19 * R273) + ('Investor-Inputs'!$N$19 * S273)</f>
        <v>35.877000000000002</v>
      </c>
      <c r="U273" s="27">
        <f t="shared" si="14"/>
        <v>357</v>
      </c>
    </row>
    <row r="274" spans="3:21" x14ac:dyDescent="0.25">
      <c r="C274" s="2" t="s">
        <v>321</v>
      </c>
      <c r="D274" s="2">
        <v>4</v>
      </c>
      <c r="E274" s="2" t="s">
        <v>14</v>
      </c>
      <c r="F274" s="2" t="s">
        <v>316</v>
      </c>
      <c r="G274" s="3">
        <v>5.85</v>
      </c>
      <c r="H274" s="3">
        <v>5.94</v>
      </c>
      <c r="I274" s="3">
        <v>7.06</v>
      </c>
      <c r="J274" s="3">
        <v>6.69</v>
      </c>
      <c r="K274" s="3">
        <v>6.14</v>
      </c>
      <c r="L274" s="21">
        <v>6.64</v>
      </c>
      <c r="M274" s="3">
        <v>3.34</v>
      </c>
      <c r="N274" s="2" t="s">
        <v>229</v>
      </c>
      <c r="O274" s="4" t="s">
        <v>28</v>
      </c>
      <c r="P274" s="18" t="s">
        <v>18</v>
      </c>
      <c r="Q274" s="5">
        <f t="shared" si="12"/>
        <v>5.8940000000000001</v>
      </c>
      <c r="R274" s="5">
        <f t="shared" si="13"/>
        <v>6.665</v>
      </c>
      <c r="S274" s="5">
        <f t="shared" si="13"/>
        <v>4.74</v>
      </c>
      <c r="T274" s="23">
        <f>('Investor-Inputs'!$G$19 * Q274) + ('Investor-Inputs'!$J$19 * R274) + ('Investor-Inputs'!$N$19 * S274)</f>
        <v>35.752000000000002</v>
      </c>
      <c r="U274" s="27">
        <f t="shared" si="14"/>
        <v>361</v>
      </c>
    </row>
    <row r="275" spans="3:21" x14ac:dyDescent="0.25">
      <c r="C275" s="2" t="s">
        <v>322</v>
      </c>
      <c r="D275" s="2">
        <v>5</v>
      </c>
      <c r="E275" s="2" t="s">
        <v>14</v>
      </c>
      <c r="F275" s="2" t="s">
        <v>316</v>
      </c>
      <c r="G275" s="3">
        <v>5.95</v>
      </c>
      <c r="H275" s="3">
        <v>5.93</v>
      </c>
      <c r="I275" s="3">
        <v>6.99</v>
      </c>
      <c r="J275" s="3">
        <v>6.63</v>
      </c>
      <c r="K275" s="3">
        <v>6.15</v>
      </c>
      <c r="L275" s="21">
        <v>6.61</v>
      </c>
      <c r="M275" s="3">
        <v>2.3199999999999998</v>
      </c>
      <c r="N275" s="2" t="s">
        <v>229</v>
      </c>
      <c r="O275" s="4" t="s">
        <v>28</v>
      </c>
      <c r="P275" s="18" t="s">
        <v>18</v>
      </c>
      <c r="Q275" s="5">
        <f t="shared" si="12"/>
        <v>5.8710000000000004</v>
      </c>
      <c r="R275" s="5">
        <f t="shared" si="13"/>
        <v>6.62</v>
      </c>
      <c r="S275" s="5">
        <f t="shared" si="13"/>
        <v>4.2350000000000003</v>
      </c>
      <c r="T275" s="23">
        <f>('Investor-Inputs'!$G$19 * Q275) + ('Investor-Inputs'!$J$19 * R275) + ('Investor-Inputs'!$N$19 * S275)</f>
        <v>35.088000000000001</v>
      </c>
      <c r="U275" s="27">
        <f t="shared" si="14"/>
        <v>391</v>
      </c>
    </row>
    <row r="276" spans="3:21" x14ac:dyDescent="0.25">
      <c r="C276" s="2" t="s">
        <v>323</v>
      </c>
      <c r="D276" s="2">
        <v>4</v>
      </c>
      <c r="E276" s="2" t="s">
        <v>14</v>
      </c>
      <c r="F276" s="2" t="s">
        <v>316</v>
      </c>
      <c r="G276" s="3">
        <v>5.84</v>
      </c>
      <c r="H276" s="3">
        <v>5.89</v>
      </c>
      <c r="I276" s="3">
        <v>6.85</v>
      </c>
      <c r="J276" s="3">
        <v>6.56</v>
      </c>
      <c r="K276" s="3">
        <v>5.86</v>
      </c>
      <c r="L276" s="21">
        <v>6.43</v>
      </c>
      <c r="M276" s="3">
        <v>1.91</v>
      </c>
      <c r="N276" s="2" t="s">
        <v>229</v>
      </c>
      <c r="O276" s="4" t="s">
        <v>24</v>
      </c>
      <c r="P276" s="18" t="s">
        <v>18</v>
      </c>
      <c r="Q276" s="5">
        <f t="shared" si="12"/>
        <v>5.67</v>
      </c>
      <c r="R276" s="5">
        <f t="shared" si="13"/>
        <v>6.4949999999999992</v>
      </c>
      <c r="S276" s="5">
        <f t="shared" si="13"/>
        <v>3.8850000000000002</v>
      </c>
      <c r="T276" s="23">
        <f>('Investor-Inputs'!$G$19 * Q276) + ('Investor-Inputs'!$J$19 * R276) + ('Investor-Inputs'!$N$19 * S276)</f>
        <v>33.884999999999998</v>
      </c>
      <c r="U276" s="27">
        <f t="shared" si="14"/>
        <v>438</v>
      </c>
    </row>
    <row r="277" spans="3:21" x14ac:dyDescent="0.25">
      <c r="C277" s="2" t="s">
        <v>324</v>
      </c>
      <c r="D277" s="2">
        <v>4</v>
      </c>
      <c r="E277" s="2" t="s">
        <v>14</v>
      </c>
      <c r="F277" s="2" t="s">
        <v>316</v>
      </c>
      <c r="G277" s="3">
        <v>5.89</v>
      </c>
      <c r="H277" s="3">
        <v>5.93</v>
      </c>
      <c r="I277" s="3">
        <v>7</v>
      </c>
      <c r="J277" s="3">
        <v>6.68</v>
      </c>
      <c r="K277" s="3">
        <v>5.98</v>
      </c>
      <c r="L277" s="21">
        <v>6.54</v>
      </c>
      <c r="M277" s="3">
        <v>2.38</v>
      </c>
      <c r="N277" s="2" t="s">
        <v>229</v>
      </c>
      <c r="O277" s="4" t="s">
        <v>17</v>
      </c>
      <c r="P277" s="18" t="s">
        <v>18</v>
      </c>
      <c r="Q277" s="5">
        <f t="shared" si="12"/>
        <v>5.7900000000000009</v>
      </c>
      <c r="R277" s="5">
        <f t="shared" si="13"/>
        <v>6.6099999999999994</v>
      </c>
      <c r="S277" s="5">
        <f t="shared" si="13"/>
        <v>4.18</v>
      </c>
      <c r="T277" s="23">
        <f>('Investor-Inputs'!$G$19 * Q277) + ('Investor-Inputs'!$J$19 * R277) + ('Investor-Inputs'!$N$19 * S277)</f>
        <v>34.770000000000003</v>
      </c>
      <c r="U277" s="27">
        <f t="shared" si="14"/>
        <v>403</v>
      </c>
    </row>
    <row r="278" spans="3:21" x14ac:dyDescent="0.25">
      <c r="C278" s="2" t="s">
        <v>325</v>
      </c>
      <c r="D278" s="2">
        <v>4</v>
      </c>
      <c r="E278" s="2" t="s">
        <v>14</v>
      </c>
      <c r="F278" s="2" t="s">
        <v>326</v>
      </c>
      <c r="G278" s="3">
        <v>5.18</v>
      </c>
      <c r="H278" s="3">
        <v>3.19</v>
      </c>
      <c r="I278" s="3">
        <v>12.25</v>
      </c>
      <c r="J278" s="3">
        <v>8.42</v>
      </c>
      <c r="K278" s="3">
        <v>10.36</v>
      </c>
      <c r="L278" s="21">
        <v>9.7899999999999991</v>
      </c>
      <c r="M278" s="3">
        <v>1.76</v>
      </c>
      <c r="N278" s="2" t="s">
        <v>16</v>
      </c>
      <c r="O278" s="4" t="s">
        <v>17</v>
      </c>
      <c r="P278" s="18" t="s">
        <v>18</v>
      </c>
      <c r="Q278" s="5">
        <f t="shared" si="12"/>
        <v>10.08</v>
      </c>
      <c r="R278" s="5">
        <f t="shared" si="13"/>
        <v>9.1050000000000004</v>
      </c>
      <c r="S278" s="5">
        <f t="shared" si="13"/>
        <v>6.06</v>
      </c>
      <c r="T278" s="23">
        <f>('Investor-Inputs'!$G$19 * Q278) + ('Investor-Inputs'!$J$19 * R278) + ('Investor-Inputs'!$N$19 * S278)</f>
        <v>54.510000000000005</v>
      </c>
      <c r="U278" s="27">
        <f t="shared" si="14"/>
        <v>271</v>
      </c>
    </row>
    <row r="279" spans="3:21" x14ac:dyDescent="0.25">
      <c r="C279" s="2" t="s">
        <v>327</v>
      </c>
      <c r="D279" s="2">
        <v>4</v>
      </c>
      <c r="E279" s="2" t="s">
        <v>14</v>
      </c>
      <c r="F279" s="2" t="s">
        <v>326</v>
      </c>
      <c r="G279" s="3">
        <v>2.09</v>
      </c>
      <c r="H279" s="3">
        <v>-0.09</v>
      </c>
      <c r="I279" s="3">
        <v>13.22</v>
      </c>
      <c r="J279" s="3">
        <v>7.52</v>
      </c>
      <c r="K279" s="3">
        <v>10.67</v>
      </c>
      <c r="L279" s="21">
        <v>9.59</v>
      </c>
      <c r="M279" s="3">
        <v>1.93</v>
      </c>
      <c r="N279" s="2" t="s">
        <v>16</v>
      </c>
      <c r="O279" s="4" t="s">
        <v>17</v>
      </c>
      <c r="P279" s="18" t="s">
        <v>18</v>
      </c>
      <c r="Q279" s="5">
        <f t="shared" si="12"/>
        <v>10.623000000000001</v>
      </c>
      <c r="R279" s="5">
        <f t="shared" si="13"/>
        <v>8.5549999999999997</v>
      </c>
      <c r="S279" s="5">
        <f t="shared" si="13"/>
        <v>6.3</v>
      </c>
      <c r="T279" s="23">
        <f>('Investor-Inputs'!$G$19 * Q279) + ('Investor-Inputs'!$J$19 * R279) + ('Investor-Inputs'!$N$19 * S279)</f>
        <v>55.278999999999996</v>
      </c>
      <c r="U279" s="27">
        <f t="shared" si="14"/>
        <v>266</v>
      </c>
    </row>
    <row r="280" spans="3:21" x14ac:dyDescent="0.25">
      <c r="C280" s="2" t="s">
        <v>328</v>
      </c>
      <c r="D280" s="2">
        <v>4</v>
      </c>
      <c r="E280" s="2" t="s">
        <v>14</v>
      </c>
      <c r="F280" s="2" t="s">
        <v>326</v>
      </c>
      <c r="G280" s="3">
        <v>4.2699999999999996</v>
      </c>
      <c r="H280" s="3">
        <v>1.9</v>
      </c>
      <c r="I280" s="3">
        <v>11.58</v>
      </c>
      <c r="J280" s="3">
        <v>7.54</v>
      </c>
      <c r="K280" s="3">
        <v>8.5299999999999994</v>
      </c>
      <c r="L280" s="21">
        <v>8.65</v>
      </c>
      <c r="M280" s="3">
        <v>1.93</v>
      </c>
      <c r="N280" s="2" t="s">
        <v>242</v>
      </c>
      <c r="O280" s="4" t="s">
        <v>24</v>
      </c>
      <c r="P280" s="18" t="s">
        <v>18</v>
      </c>
      <c r="Q280" s="5">
        <f t="shared" si="12"/>
        <v>8.8970000000000002</v>
      </c>
      <c r="R280" s="5">
        <f t="shared" si="13"/>
        <v>8.0950000000000006</v>
      </c>
      <c r="S280" s="5">
        <f t="shared" si="13"/>
        <v>5.2299999999999995</v>
      </c>
      <c r="T280" s="23">
        <f>('Investor-Inputs'!$G$19 * Q280) + ('Investor-Inputs'!$J$19 * R280) + ('Investor-Inputs'!$N$19 * S280)</f>
        <v>48.110999999999997</v>
      </c>
      <c r="U280" s="27">
        <f t="shared" si="14"/>
        <v>285</v>
      </c>
    </row>
    <row r="281" spans="3:21" x14ac:dyDescent="0.25">
      <c r="C281" s="2" t="s">
        <v>329</v>
      </c>
      <c r="D281" s="2">
        <v>4</v>
      </c>
      <c r="E281" s="2" t="s">
        <v>14</v>
      </c>
      <c r="F281" s="2" t="s">
        <v>326</v>
      </c>
      <c r="G281" s="3">
        <v>1.02</v>
      </c>
      <c r="H281" s="3">
        <v>-1.96</v>
      </c>
      <c r="I281" s="3">
        <v>11.51</v>
      </c>
      <c r="J281" s="3">
        <v>5.6</v>
      </c>
      <c r="K281" s="2"/>
      <c r="L281" s="20"/>
      <c r="M281" s="3">
        <v>2.14</v>
      </c>
      <c r="N281" s="2" t="s">
        <v>16</v>
      </c>
      <c r="O281" s="4" t="s">
        <v>24</v>
      </c>
      <c r="P281" s="18" t="s">
        <v>18</v>
      </c>
      <c r="Q281" s="5">
        <f t="shared" si="12"/>
        <v>4.6040000000000001</v>
      </c>
      <c r="R281" s="5">
        <f t="shared" si="13"/>
        <v>2.8</v>
      </c>
      <c r="S281" s="5">
        <f t="shared" si="13"/>
        <v>1.07</v>
      </c>
      <c r="T281" s="23">
        <f>('Investor-Inputs'!$G$19 * Q281) + ('Investor-Inputs'!$J$19 * R281) + ('Investor-Inputs'!$N$19 * S281)</f>
        <v>20.481999999999999</v>
      </c>
      <c r="U281" s="27">
        <f t="shared" si="14"/>
        <v>577</v>
      </c>
    </row>
    <row r="282" spans="3:21" x14ac:dyDescent="0.25">
      <c r="C282" s="2" t="s">
        <v>330</v>
      </c>
      <c r="D282" s="2">
        <v>5</v>
      </c>
      <c r="E282" s="2" t="s">
        <v>14</v>
      </c>
      <c r="F282" s="2" t="s">
        <v>326</v>
      </c>
      <c r="G282" s="3">
        <v>1.21</v>
      </c>
      <c r="H282" s="3">
        <v>-1.56</v>
      </c>
      <c r="I282" s="3">
        <v>11.76</v>
      </c>
      <c r="J282" s="3">
        <v>5.71</v>
      </c>
      <c r="K282" s="3">
        <v>13.24</v>
      </c>
      <c r="L282" s="21">
        <v>9.25</v>
      </c>
      <c r="M282" s="3">
        <v>1.99</v>
      </c>
      <c r="N282" s="2" t="s">
        <v>28</v>
      </c>
      <c r="O282" s="4" t="s">
        <v>28</v>
      </c>
      <c r="P282" s="18" t="s">
        <v>18</v>
      </c>
      <c r="Q282" s="5">
        <f t="shared" si="12"/>
        <v>11.324</v>
      </c>
      <c r="R282" s="5">
        <f t="shared" si="13"/>
        <v>7.48</v>
      </c>
      <c r="S282" s="5">
        <f t="shared" si="13"/>
        <v>7.6150000000000002</v>
      </c>
      <c r="T282" s="23">
        <f>('Investor-Inputs'!$G$19 * Q282) + ('Investor-Inputs'!$J$19 * R282) + ('Investor-Inputs'!$N$19 * S282)</f>
        <v>56.547000000000004</v>
      </c>
      <c r="U282" s="27">
        <f t="shared" si="14"/>
        <v>252</v>
      </c>
    </row>
    <row r="283" spans="3:21" x14ac:dyDescent="0.25">
      <c r="C283" s="2" t="s">
        <v>331</v>
      </c>
      <c r="D283" s="2">
        <v>5</v>
      </c>
      <c r="E283" s="2" t="s">
        <v>14</v>
      </c>
      <c r="F283" s="2" t="s">
        <v>326</v>
      </c>
      <c r="G283" s="3">
        <v>2.52</v>
      </c>
      <c r="H283" s="3">
        <v>-1.1299999999999999</v>
      </c>
      <c r="I283" s="3">
        <v>15.39</v>
      </c>
      <c r="J283" s="3">
        <v>7.48</v>
      </c>
      <c r="K283" s="3">
        <v>17.03</v>
      </c>
      <c r="L283" s="21">
        <v>13.08</v>
      </c>
      <c r="M283" s="3">
        <v>1.27</v>
      </c>
      <c r="N283" s="2" t="s">
        <v>16</v>
      </c>
      <c r="O283" s="4" t="s">
        <v>28</v>
      </c>
      <c r="P283" s="18" t="s">
        <v>18</v>
      </c>
      <c r="Q283" s="5">
        <f t="shared" si="12"/>
        <v>14.671000000000001</v>
      </c>
      <c r="R283" s="5">
        <f t="shared" si="13"/>
        <v>10.280000000000001</v>
      </c>
      <c r="S283" s="5">
        <f t="shared" si="13"/>
        <v>9.15</v>
      </c>
      <c r="T283" s="23">
        <f>('Investor-Inputs'!$G$19 * Q283) + ('Investor-Inputs'!$J$19 * R283) + ('Investor-Inputs'!$N$19 * S283)</f>
        <v>73.723000000000013</v>
      </c>
      <c r="U283" s="27">
        <f t="shared" si="14"/>
        <v>172</v>
      </c>
    </row>
    <row r="284" spans="3:21" x14ac:dyDescent="0.25">
      <c r="C284" s="2" t="s">
        <v>332</v>
      </c>
      <c r="D284" s="2">
        <v>4</v>
      </c>
      <c r="E284" s="2" t="s">
        <v>14</v>
      </c>
      <c r="F284" s="2" t="s">
        <v>326</v>
      </c>
      <c r="G284" s="3">
        <v>5.82</v>
      </c>
      <c r="H284" s="3">
        <v>2.13</v>
      </c>
      <c r="I284" s="3">
        <v>12.19</v>
      </c>
      <c r="J284" s="3">
        <v>8.4499999999999993</v>
      </c>
      <c r="K284" s="3">
        <v>11.2</v>
      </c>
      <c r="L284" s="21">
        <v>10.19</v>
      </c>
      <c r="M284" s="3">
        <v>2.19</v>
      </c>
      <c r="N284" s="2" t="s">
        <v>16</v>
      </c>
      <c r="O284" s="4" t="s">
        <v>17</v>
      </c>
      <c r="P284" s="18" t="s">
        <v>18</v>
      </c>
      <c r="Q284" s="5">
        <f t="shared" si="12"/>
        <v>10.475999999999999</v>
      </c>
      <c r="R284" s="5">
        <f t="shared" si="13"/>
        <v>9.32</v>
      </c>
      <c r="S284" s="5">
        <f t="shared" si="13"/>
        <v>6.6949999999999994</v>
      </c>
      <c r="T284" s="23">
        <f>('Investor-Inputs'!$G$19 * Q284) + ('Investor-Inputs'!$J$19 * R284) + ('Investor-Inputs'!$N$19 * S284)</f>
        <v>56.762999999999998</v>
      </c>
      <c r="U284" s="27">
        <f t="shared" si="14"/>
        <v>248</v>
      </c>
    </row>
    <row r="285" spans="3:21" x14ac:dyDescent="0.25">
      <c r="C285" s="2" t="s">
        <v>333</v>
      </c>
      <c r="D285" s="2">
        <v>4</v>
      </c>
      <c r="E285" s="2" t="s">
        <v>14</v>
      </c>
      <c r="F285" s="2" t="s">
        <v>326</v>
      </c>
      <c r="G285" s="3">
        <v>5.2</v>
      </c>
      <c r="H285" s="3">
        <v>2.42</v>
      </c>
      <c r="I285" s="3">
        <v>11.46</v>
      </c>
      <c r="J285" s="3">
        <v>7.27</v>
      </c>
      <c r="K285" s="2"/>
      <c r="L285" s="20"/>
      <c r="M285" s="3">
        <v>2.06</v>
      </c>
      <c r="N285" s="2" t="s">
        <v>16</v>
      </c>
      <c r="O285" s="4" t="s">
        <v>24</v>
      </c>
      <c r="P285" s="18" t="s">
        <v>18</v>
      </c>
      <c r="Q285" s="5">
        <f t="shared" si="12"/>
        <v>4.5840000000000005</v>
      </c>
      <c r="R285" s="5">
        <f t="shared" si="13"/>
        <v>3.6349999999999998</v>
      </c>
      <c r="S285" s="5">
        <f t="shared" si="13"/>
        <v>1.03</v>
      </c>
      <c r="T285" s="23">
        <f>('Investor-Inputs'!$G$19 * Q285) + ('Investor-Inputs'!$J$19 * R285) + ('Investor-Inputs'!$N$19 * S285)</f>
        <v>22.052000000000003</v>
      </c>
      <c r="U285" s="27">
        <f t="shared" si="14"/>
        <v>572</v>
      </c>
    </row>
    <row r="286" spans="3:21" x14ac:dyDescent="0.25">
      <c r="C286" s="2" t="s">
        <v>334</v>
      </c>
      <c r="D286" s="2">
        <v>4</v>
      </c>
      <c r="E286" s="2" t="s">
        <v>14</v>
      </c>
      <c r="F286" s="2" t="s">
        <v>326</v>
      </c>
      <c r="G286" s="3">
        <v>3.58</v>
      </c>
      <c r="H286" s="3">
        <v>1.38</v>
      </c>
      <c r="I286" s="3">
        <v>11.73</v>
      </c>
      <c r="J286" s="3">
        <v>6.97</v>
      </c>
      <c r="K286" s="3">
        <v>10.27</v>
      </c>
      <c r="L286" s="21">
        <v>8.99</v>
      </c>
      <c r="M286" s="3">
        <v>2.37</v>
      </c>
      <c r="N286" s="2" t="s">
        <v>16</v>
      </c>
      <c r="O286" s="4" t="s">
        <v>24</v>
      </c>
      <c r="P286" s="18" t="s">
        <v>18</v>
      </c>
      <c r="Q286" s="5">
        <f t="shared" si="12"/>
        <v>9.827</v>
      </c>
      <c r="R286" s="5">
        <f t="shared" si="13"/>
        <v>7.98</v>
      </c>
      <c r="S286" s="5">
        <f t="shared" si="13"/>
        <v>6.32</v>
      </c>
      <c r="T286" s="23">
        <f>('Investor-Inputs'!$G$19 * Q286) + ('Investor-Inputs'!$J$19 * R286) + ('Investor-Inputs'!$N$19 * S286)</f>
        <v>51.761000000000003</v>
      </c>
      <c r="U286" s="27">
        <f t="shared" si="14"/>
        <v>277</v>
      </c>
    </row>
    <row r="287" spans="3:21" x14ac:dyDescent="0.25">
      <c r="C287" s="2" t="s">
        <v>335</v>
      </c>
      <c r="D287" s="2">
        <v>4</v>
      </c>
      <c r="E287" s="2" t="s">
        <v>14</v>
      </c>
      <c r="F287" s="2" t="s">
        <v>326</v>
      </c>
      <c r="G287" s="3">
        <v>1.19</v>
      </c>
      <c r="H287" s="3">
        <v>-1.41</v>
      </c>
      <c r="I287" s="3">
        <v>16.760000000000002</v>
      </c>
      <c r="J287" s="3">
        <v>6.67</v>
      </c>
      <c r="K287" s="2"/>
      <c r="L287" s="20"/>
      <c r="M287" s="3">
        <v>2.5</v>
      </c>
      <c r="N287" s="2" t="s">
        <v>16</v>
      </c>
      <c r="O287" s="4" t="s">
        <v>28</v>
      </c>
      <c r="P287" s="18" t="s">
        <v>18</v>
      </c>
      <c r="Q287" s="5">
        <f t="shared" si="12"/>
        <v>6.7040000000000006</v>
      </c>
      <c r="R287" s="5">
        <f t="shared" si="13"/>
        <v>3.335</v>
      </c>
      <c r="S287" s="5">
        <f t="shared" si="13"/>
        <v>1.25</v>
      </c>
      <c r="T287" s="23">
        <f>('Investor-Inputs'!$G$19 * Q287) + ('Investor-Inputs'!$J$19 * R287) + ('Investor-Inputs'!$N$19 * S287)</f>
        <v>28.032000000000004</v>
      </c>
      <c r="U287" s="27">
        <f t="shared" si="14"/>
        <v>556</v>
      </c>
    </row>
    <row r="288" spans="3:21" x14ac:dyDescent="0.25">
      <c r="C288" s="2" t="s">
        <v>336</v>
      </c>
      <c r="D288" s="2">
        <v>5</v>
      </c>
      <c r="E288" s="2" t="s">
        <v>14</v>
      </c>
      <c r="F288" s="2" t="s">
        <v>326</v>
      </c>
      <c r="G288" s="3">
        <v>4.83</v>
      </c>
      <c r="H288" s="3">
        <v>2.75</v>
      </c>
      <c r="I288" s="3">
        <v>12.29</v>
      </c>
      <c r="J288" s="3">
        <v>7.89</v>
      </c>
      <c r="K288" s="2"/>
      <c r="L288" s="20"/>
      <c r="M288" s="3">
        <v>1.53</v>
      </c>
      <c r="N288" s="2" t="s">
        <v>16</v>
      </c>
      <c r="O288" s="4" t="s">
        <v>17</v>
      </c>
      <c r="P288" s="18" t="s">
        <v>18</v>
      </c>
      <c r="Q288" s="5">
        <f t="shared" si="12"/>
        <v>4.9160000000000004</v>
      </c>
      <c r="R288" s="5">
        <f t="shared" si="13"/>
        <v>3.9449999999999998</v>
      </c>
      <c r="S288" s="5">
        <f t="shared" si="13"/>
        <v>0.76500000000000001</v>
      </c>
      <c r="T288" s="23">
        <f>('Investor-Inputs'!$G$19 * Q288) + ('Investor-Inputs'!$J$19 * R288) + ('Investor-Inputs'!$N$19 * S288)</f>
        <v>23.403000000000002</v>
      </c>
      <c r="U288" s="27">
        <f t="shared" si="14"/>
        <v>570</v>
      </c>
    </row>
    <row r="289" spans="3:21" x14ac:dyDescent="0.25">
      <c r="C289" s="2" t="s">
        <v>337</v>
      </c>
      <c r="D289" s="2">
        <v>4</v>
      </c>
      <c r="E289" s="2" t="s">
        <v>14</v>
      </c>
      <c r="F289" s="2" t="s">
        <v>338</v>
      </c>
      <c r="G289" s="3">
        <v>6.76</v>
      </c>
      <c r="H289" s="3">
        <v>3.26</v>
      </c>
      <c r="I289" s="3">
        <v>14.49</v>
      </c>
      <c r="J289" s="3">
        <v>10.3</v>
      </c>
      <c r="K289" s="2"/>
      <c r="L289" s="20"/>
      <c r="M289" s="3">
        <v>1.1599999999999999</v>
      </c>
      <c r="N289" s="2" t="s">
        <v>28</v>
      </c>
      <c r="O289" s="4" t="s">
        <v>110</v>
      </c>
      <c r="P289" s="18" t="s">
        <v>18</v>
      </c>
      <c r="Q289" s="5">
        <f t="shared" si="12"/>
        <v>5.7960000000000003</v>
      </c>
      <c r="R289" s="5">
        <f t="shared" si="13"/>
        <v>5.15</v>
      </c>
      <c r="S289" s="5">
        <f t="shared" si="13"/>
        <v>0.57999999999999996</v>
      </c>
      <c r="T289" s="23">
        <f>('Investor-Inputs'!$G$19 * Q289) + ('Investor-Inputs'!$J$19 * R289) + ('Investor-Inputs'!$N$19 * S289)</f>
        <v>28.268000000000001</v>
      </c>
      <c r="U289" s="27">
        <f t="shared" si="14"/>
        <v>548</v>
      </c>
    </row>
    <row r="290" spans="3:21" x14ac:dyDescent="0.25">
      <c r="C290" s="2" t="s">
        <v>339</v>
      </c>
      <c r="D290" s="2">
        <v>5</v>
      </c>
      <c r="E290" s="2" t="s">
        <v>14</v>
      </c>
      <c r="F290" s="2" t="s">
        <v>338</v>
      </c>
      <c r="G290" s="3">
        <v>9.1</v>
      </c>
      <c r="H290" s="3">
        <v>5.29</v>
      </c>
      <c r="I290" s="3">
        <v>17.68</v>
      </c>
      <c r="J290" s="3">
        <v>12.53</v>
      </c>
      <c r="K290" s="3">
        <v>18.850000000000001</v>
      </c>
      <c r="L290" s="21">
        <v>15.66</v>
      </c>
      <c r="M290" s="3">
        <v>2.37</v>
      </c>
      <c r="N290" s="2" t="s">
        <v>16</v>
      </c>
      <c r="O290" s="4" t="s">
        <v>17</v>
      </c>
      <c r="P290" s="18" t="s">
        <v>18</v>
      </c>
      <c r="Q290" s="5">
        <f t="shared" si="12"/>
        <v>16.497</v>
      </c>
      <c r="R290" s="5">
        <f t="shared" si="13"/>
        <v>14.094999999999999</v>
      </c>
      <c r="S290" s="5">
        <f t="shared" si="13"/>
        <v>10.610000000000001</v>
      </c>
      <c r="T290" s="23">
        <f>('Investor-Inputs'!$G$19 * Q290) + ('Investor-Inputs'!$J$19 * R290) + ('Investor-Inputs'!$N$19 * S290)</f>
        <v>88.290999999999997</v>
      </c>
      <c r="U290" s="27">
        <f t="shared" si="14"/>
        <v>87</v>
      </c>
    </row>
    <row r="291" spans="3:21" x14ac:dyDescent="0.25">
      <c r="C291" s="2" t="s">
        <v>340</v>
      </c>
      <c r="D291" s="2">
        <v>4</v>
      </c>
      <c r="E291" s="2" t="s">
        <v>14</v>
      </c>
      <c r="F291" s="2" t="s">
        <v>338</v>
      </c>
      <c r="G291" s="3">
        <v>18.78</v>
      </c>
      <c r="H291" s="3">
        <v>14.36</v>
      </c>
      <c r="I291" s="3">
        <v>20.37</v>
      </c>
      <c r="J291" s="3">
        <v>17.03</v>
      </c>
      <c r="K291" s="3">
        <v>16.13</v>
      </c>
      <c r="L291" s="21">
        <v>16.809999999999999</v>
      </c>
      <c r="M291" s="3">
        <v>1.34</v>
      </c>
      <c r="N291" s="2" t="s">
        <v>16</v>
      </c>
      <c r="O291" s="4" t="s">
        <v>17</v>
      </c>
      <c r="P291" s="18" t="s">
        <v>18</v>
      </c>
      <c r="Q291" s="5">
        <f t="shared" si="12"/>
        <v>16.213000000000001</v>
      </c>
      <c r="R291" s="5">
        <f t="shared" si="13"/>
        <v>16.920000000000002</v>
      </c>
      <c r="S291" s="5">
        <f t="shared" si="13"/>
        <v>8.7349999999999994</v>
      </c>
      <c r="T291" s="23">
        <f>('Investor-Inputs'!$G$19 * Q291) + ('Investor-Inputs'!$J$19 * R291) + ('Investor-Inputs'!$N$19 * S291)</f>
        <v>91.214000000000013</v>
      </c>
      <c r="U291" s="27">
        <f t="shared" si="14"/>
        <v>79</v>
      </c>
    </row>
    <row r="292" spans="3:21" x14ac:dyDescent="0.25">
      <c r="C292" s="2" t="s">
        <v>341</v>
      </c>
      <c r="D292" s="2">
        <v>4</v>
      </c>
      <c r="E292" s="2" t="s">
        <v>14</v>
      </c>
      <c r="F292" s="2" t="s">
        <v>338</v>
      </c>
      <c r="G292" s="3">
        <v>13.12</v>
      </c>
      <c r="H292" s="3">
        <v>10.08</v>
      </c>
      <c r="I292" s="3">
        <v>19.52</v>
      </c>
      <c r="J292" s="3">
        <v>14.58</v>
      </c>
      <c r="K292" s="3">
        <v>17.059999999999999</v>
      </c>
      <c r="L292" s="21">
        <v>16.25</v>
      </c>
      <c r="M292" s="3">
        <v>1.07</v>
      </c>
      <c r="N292" s="2" t="s">
        <v>16</v>
      </c>
      <c r="O292" s="4" t="s">
        <v>17</v>
      </c>
      <c r="P292" s="18" t="s">
        <v>18</v>
      </c>
      <c r="Q292" s="5">
        <f t="shared" si="12"/>
        <v>16.338000000000001</v>
      </c>
      <c r="R292" s="5">
        <f t="shared" si="13"/>
        <v>15.414999999999999</v>
      </c>
      <c r="S292" s="5">
        <f t="shared" si="13"/>
        <v>9.0649999999999995</v>
      </c>
      <c r="T292" s="23">
        <f>('Investor-Inputs'!$G$19 * Q292) + ('Investor-Inputs'!$J$19 * R292) + ('Investor-Inputs'!$N$19 * S292)</f>
        <v>88.908999999999992</v>
      </c>
      <c r="U292" s="27">
        <f t="shared" si="14"/>
        <v>85</v>
      </c>
    </row>
    <row r="293" spans="3:21" x14ac:dyDescent="0.25">
      <c r="C293" s="2" t="s">
        <v>342</v>
      </c>
      <c r="D293" s="2">
        <v>5</v>
      </c>
      <c r="E293" s="2" t="s">
        <v>14</v>
      </c>
      <c r="F293" s="2" t="s">
        <v>338</v>
      </c>
      <c r="G293" s="3">
        <v>20.86</v>
      </c>
      <c r="H293" s="3">
        <v>17.73</v>
      </c>
      <c r="I293" s="3">
        <v>22.37</v>
      </c>
      <c r="J293" s="3">
        <v>18.37</v>
      </c>
      <c r="K293" s="3">
        <v>21.48</v>
      </c>
      <c r="L293" s="21">
        <v>19.28</v>
      </c>
      <c r="M293" s="3">
        <v>2.57</v>
      </c>
      <c r="N293" s="2" t="s">
        <v>28</v>
      </c>
      <c r="O293" s="4" t="s">
        <v>28</v>
      </c>
      <c r="P293" s="18" t="s">
        <v>18</v>
      </c>
      <c r="Q293" s="5">
        <f t="shared" si="12"/>
        <v>19.688000000000002</v>
      </c>
      <c r="R293" s="5">
        <f t="shared" si="13"/>
        <v>18.825000000000003</v>
      </c>
      <c r="S293" s="5">
        <f t="shared" si="13"/>
        <v>12.025</v>
      </c>
      <c r="T293" s="23">
        <f>('Investor-Inputs'!$G$19 * Q293) + ('Investor-Inputs'!$J$19 * R293) + ('Investor-Inputs'!$N$19 * S293)</f>
        <v>108.73900000000002</v>
      </c>
      <c r="U293" s="27">
        <f t="shared" si="14"/>
        <v>37</v>
      </c>
    </row>
    <row r="294" spans="3:21" x14ac:dyDescent="0.25">
      <c r="C294" s="2" t="s">
        <v>343</v>
      </c>
      <c r="D294" s="2">
        <v>4</v>
      </c>
      <c r="E294" s="2" t="s">
        <v>14</v>
      </c>
      <c r="F294" s="2" t="s">
        <v>338</v>
      </c>
      <c r="G294" s="3">
        <v>16.78</v>
      </c>
      <c r="H294" s="3">
        <v>13.15</v>
      </c>
      <c r="I294" s="3">
        <v>17.75</v>
      </c>
      <c r="J294" s="3">
        <v>14.58</v>
      </c>
      <c r="K294" s="3">
        <v>14.55</v>
      </c>
      <c r="L294" s="21">
        <v>14.92</v>
      </c>
      <c r="M294" s="3">
        <v>1.84</v>
      </c>
      <c r="N294" s="2" t="s">
        <v>16</v>
      </c>
      <c r="O294" s="4" t="s">
        <v>17</v>
      </c>
      <c r="P294" s="18" t="s">
        <v>18</v>
      </c>
      <c r="Q294" s="5">
        <f t="shared" si="12"/>
        <v>14.375</v>
      </c>
      <c r="R294" s="5">
        <f t="shared" si="13"/>
        <v>14.75</v>
      </c>
      <c r="S294" s="5">
        <f t="shared" si="13"/>
        <v>8.1950000000000003</v>
      </c>
      <c r="T294" s="23">
        <f>('Investor-Inputs'!$G$19 * Q294) + ('Investor-Inputs'!$J$19 * R294) + ('Investor-Inputs'!$N$19 * S294)</f>
        <v>80.819999999999993</v>
      </c>
      <c r="U294" s="27">
        <f t="shared" si="14"/>
        <v>126</v>
      </c>
    </row>
    <row r="295" spans="3:21" x14ac:dyDescent="0.25">
      <c r="C295" s="2" t="s">
        <v>344</v>
      </c>
      <c r="D295" s="2">
        <v>4</v>
      </c>
      <c r="E295" s="2" t="s">
        <v>14</v>
      </c>
      <c r="F295" s="2" t="s">
        <v>345</v>
      </c>
      <c r="G295" s="3">
        <v>55.7</v>
      </c>
      <c r="H295" s="3">
        <v>54.17</v>
      </c>
      <c r="I295" s="3">
        <v>33.520000000000003</v>
      </c>
      <c r="J295" s="3">
        <v>44.04</v>
      </c>
      <c r="K295" s="3">
        <v>24.54</v>
      </c>
      <c r="L295" s="21">
        <v>32.729999999999997</v>
      </c>
      <c r="M295" s="3">
        <v>0.48</v>
      </c>
      <c r="N295" s="2" t="s">
        <v>16</v>
      </c>
      <c r="O295" s="4" t="s">
        <v>110</v>
      </c>
      <c r="P295" s="18" t="s">
        <v>18</v>
      </c>
      <c r="Q295" s="5">
        <f t="shared" si="12"/>
        <v>25.678000000000001</v>
      </c>
      <c r="R295" s="5">
        <f t="shared" si="13"/>
        <v>38.384999999999998</v>
      </c>
      <c r="S295" s="5">
        <f t="shared" si="13"/>
        <v>12.51</v>
      </c>
      <c r="T295" s="23">
        <f>('Investor-Inputs'!$G$19 * Q295) + ('Investor-Inputs'!$J$19 * R295) + ('Investor-Inputs'!$N$19 * S295)</f>
        <v>166.31399999999999</v>
      </c>
      <c r="U295" s="27">
        <f t="shared" si="14"/>
        <v>5</v>
      </c>
    </row>
    <row r="296" spans="3:21" x14ac:dyDescent="0.25">
      <c r="C296" s="2" t="s">
        <v>346</v>
      </c>
      <c r="D296" s="2">
        <v>4</v>
      </c>
      <c r="E296" s="2" t="s">
        <v>14</v>
      </c>
      <c r="F296" s="2" t="s">
        <v>345</v>
      </c>
      <c r="G296" s="3">
        <v>56</v>
      </c>
      <c r="H296" s="3">
        <v>53.89</v>
      </c>
      <c r="I296" s="3">
        <v>33.71</v>
      </c>
      <c r="J296" s="3">
        <v>44.49</v>
      </c>
      <c r="K296" s="3">
        <v>24.7</v>
      </c>
      <c r="L296" s="21">
        <v>32.950000000000003</v>
      </c>
      <c r="M296" s="3">
        <v>0.51</v>
      </c>
      <c r="N296" s="2" t="s">
        <v>28</v>
      </c>
      <c r="O296" s="4" t="s">
        <v>24</v>
      </c>
      <c r="P296" s="18" t="s">
        <v>18</v>
      </c>
      <c r="Q296" s="5">
        <f t="shared" si="12"/>
        <v>25.834000000000003</v>
      </c>
      <c r="R296" s="5">
        <f t="shared" si="13"/>
        <v>38.72</v>
      </c>
      <c r="S296" s="5">
        <f t="shared" si="13"/>
        <v>12.605</v>
      </c>
      <c r="T296" s="23">
        <f>('Investor-Inputs'!$G$19 * Q296) + ('Investor-Inputs'!$J$19 * R296) + ('Investor-Inputs'!$N$19 * S296)</f>
        <v>167.547</v>
      </c>
      <c r="U296" s="27">
        <f t="shared" si="14"/>
        <v>3</v>
      </c>
    </row>
    <row r="297" spans="3:21" x14ac:dyDescent="0.25">
      <c r="C297" s="2" t="s">
        <v>347</v>
      </c>
      <c r="D297" s="2">
        <v>4</v>
      </c>
      <c r="E297" s="2" t="s">
        <v>14</v>
      </c>
      <c r="F297" s="2" t="s">
        <v>345</v>
      </c>
      <c r="G297" s="3">
        <v>56.08</v>
      </c>
      <c r="H297" s="3">
        <v>54.16</v>
      </c>
      <c r="I297" s="3">
        <v>33.76</v>
      </c>
      <c r="J297" s="3">
        <v>44.55</v>
      </c>
      <c r="K297" s="3">
        <v>24.72</v>
      </c>
      <c r="L297" s="21">
        <v>33.01</v>
      </c>
      <c r="M297" s="3">
        <v>0.42</v>
      </c>
      <c r="N297" s="2" t="s">
        <v>28</v>
      </c>
      <c r="O297" s="4" t="s">
        <v>24</v>
      </c>
      <c r="P297" s="18" t="s">
        <v>18</v>
      </c>
      <c r="Q297" s="5">
        <f t="shared" si="12"/>
        <v>25.863999999999997</v>
      </c>
      <c r="R297" s="5">
        <f t="shared" si="13"/>
        <v>38.78</v>
      </c>
      <c r="S297" s="5">
        <f t="shared" si="13"/>
        <v>12.57</v>
      </c>
      <c r="T297" s="23">
        <f>('Investor-Inputs'!$G$19 * Q297) + ('Investor-Inputs'!$J$19 * R297) + ('Investor-Inputs'!$N$19 * S297)</f>
        <v>167.72199999999998</v>
      </c>
      <c r="U297" s="27">
        <f t="shared" si="14"/>
        <v>1</v>
      </c>
    </row>
    <row r="298" spans="3:21" x14ac:dyDescent="0.25">
      <c r="C298" s="2" t="s">
        <v>348</v>
      </c>
      <c r="D298" s="2">
        <v>4</v>
      </c>
      <c r="E298" s="2" t="s">
        <v>14</v>
      </c>
      <c r="F298" s="2" t="s">
        <v>345</v>
      </c>
      <c r="G298" s="3">
        <v>53.31</v>
      </c>
      <c r="H298" s="3">
        <v>51.94</v>
      </c>
      <c r="I298" s="2"/>
      <c r="J298" s="2"/>
      <c r="K298" s="2"/>
      <c r="L298" s="20"/>
      <c r="M298" s="3">
        <v>0.68</v>
      </c>
      <c r="N298" s="2" t="s">
        <v>28</v>
      </c>
      <c r="O298" s="4" t="s">
        <v>110</v>
      </c>
      <c r="P298" s="18" t="s">
        <v>18</v>
      </c>
      <c r="Q298" s="5">
        <f t="shared" si="12"/>
        <v>0</v>
      </c>
      <c r="R298" s="5">
        <f t="shared" si="13"/>
        <v>0</v>
      </c>
      <c r="S298" s="5">
        <f t="shared" si="13"/>
        <v>0.34</v>
      </c>
      <c r="T298" s="23">
        <f>('Investor-Inputs'!$G$19 * Q298) + ('Investor-Inputs'!$J$19 * R298) + ('Investor-Inputs'!$N$19 * S298)</f>
        <v>0.34</v>
      </c>
      <c r="U298" s="27">
        <f t="shared" si="14"/>
        <v>583</v>
      </c>
    </row>
    <row r="299" spans="3:21" x14ac:dyDescent="0.25">
      <c r="C299" s="2" t="s">
        <v>349</v>
      </c>
      <c r="D299" s="2">
        <v>4</v>
      </c>
      <c r="E299" s="2" t="s">
        <v>14</v>
      </c>
      <c r="F299" s="2" t="s">
        <v>345</v>
      </c>
      <c r="G299" s="3">
        <v>55.76</v>
      </c>
      <c r="H299" s="3">
        <v>54.35</v>
      </c>
      <c r="I299" s="3">
        <v>33.82</v>
      </c>
      <c r="J299" s="3">
        <v>44.66</v>
      </c>
      <c r="K299" s="2"/>
      <c r="L299" s="20"/>
      <c r="M299" s="3">
        <v>0.53</v>
      </c>
      <c r="N299" s="2" t="s">
        <v>28</v>
      </c>
      <c r="O299" s="4" t="s">
        <v>24</v>
      </c>
      <c r="P299" s="18" t="s">
        <v>18</v>
      </c>
      <c r="Q299" s="5">
        <f t="shared" si="12"/>
        <v>13.528</v>
      </c>
      <c r="R299" s="5">
        <f t="shared" si="13"/>
        <v>22.33</v>
      </c>
      <c r="S299" s="5">
        <f t="shared" si="13"/>
        <v>0.26500000000000001</v>
      </c>
      <c r="T299" s="23">
        <f>('Investor-Inputs'!$G$19 * Q299) + ('Investor-Inputs'!$J$19 * R299) + ('Investor-Inputs'!$N$19 * S299)</f>
        <v>85.509</v>
      </c>
      <c r="U299" s="27">
        <f t="shared" si="14"/>
        <v>110</v>
      </c>
    </row>
    <row r="300" spans="3:21" x14ac:dyDescent="0.25">
      <c r="C300" s="2" t="s">
        <v>13</v>
      </c>
      <c r="D300" s="2">
        <v>4</v>
      </c>
      <c r="E300" s="2" t="s">
        <v>14</v>
      </c>
      <c r="F300" s="2" t="s">
        <v>15</v>
      </c>
      <c r="G300" s="3">
        <v>-0.47</v>
      </c>
      <c r="H300" s="3">
        <v>-6.31</v>
      </c>
      <c r="I300" s="3">
        <v>13.07</v>
      </c>
      <c r="J300" s="3">
        <v>5.14</v>
      </c>
      <c r="K300" s="3">
        <v>12.5</v>
      </c>
      <c r="L300" s="21">
        <v>9.15</v>
      </c>
      <c r="M300" s="3">
        <v>1.58</v>
      </c>
      <c r="N300" s="2" t="s">
        <v>16</v>
      </c>
      <c r="O300" s="4" t="s">
        <v>17</v>
      </c>
      <c r="P300" s="18" t="s">
        <v>350</v>
      </c>
      <c r="Q300" s="5">
        <f t="shared" si="12"/>
        <v>11.478000000000002</v>
      </c>
      <c r="R300" s="5">
        <f t="shared" si="13"/>
        <v>7.1449999999999996</v>
      </c>
      <c r="S300" s="5">
        <f t="shared" si="13"/>
        <v>7.04</v>
      </c>
      <c r="T300" s="23">
        <f>('Investor-Inputs'!$G$19 * Q300) + ('Investor-Inputs'!$J$19 * R300) + ('Investor-Inputs'!$N$19 * S300)</f>
        <v>55.764000000000003</v>
      </c>
      <c r="U300" s="27">
        <f t="shared" si="14"/>
        <v>256</v>
      </c>
    </row>
    <row r="301" spans="3:21" x14ac:dyDescent="0.25">
      <c r="C301" s="2" t="s">
        <v>19</v>
      </c>
      <c r="D301" s="2">
        <v>4</v>
      </c>
      <c r="E301" s="2" t="s">
        <v>14</v>
      </c>
      <c r="F301" s="2" t="s">
        <v>15</v>
      </c>
      <c r="G301" s="3">
        <v>6.69</v>
      </c>
      <c r="H301" s="3">
        <v>2.58</v>
      </c>
      <c r="I301" s="3">
        <v>15.81</v>
      </c>
      <c r="J301" s="3">
        <v>8.65</v>
      </c>
      <c r="K301" s="2"/>
      <c r="L301" s="20"/>
      <c r="M301" s="3">
        <v>1.1000000000000001</v>
      </c>
      <c r="N301" s="2" t="s">
        <v>16</v>
      </c>
      <c r="O301" s="4" t="s">
        <v>17</v>
      </c>
      <c r="P301" s="18" t="s">
        <v>350</v>
      </c>
      <c r="Q301" s="5">
        <f t="shared" si="12"/>
        <v>6.3240000000000007</v>
      </c>
      <c r="R301" s="5">
        <f t="shared" si="13"/>
        <v>4.3250000000000002</v>
      </c>
      <c r="S301" s="5">
        <f t="shared" si="13"/>
        <v>0.55000000000000004</v>
      </c>
      <c r="T301" s="23">
        <f>('Investor-Inputs'!$G$19 * Q301) + ('Investor-Inputs'!$J$19 * R301) + ('Investor-Inputs'!$N$19 * S301)</f>
        <v>28.172000000000001</v>
      </c>
      <c r="U301" s="27">
        <f t="shared" si="14"/>
        <v>554</v>
      </c>
    </row>
    <row r="302" spans="3:21" x14ac:dyDescent="0.25">
      <c r="C302" s="2" t="s">
        <v>20</v>
      </c>
      <c r="D302" s="2">
        <v>4</v>
      </c>
      <c r="E302" s="2" t="s">
        <v>14</v>
      </c>
      <c r="F302" s="2" t="s">
        <v>15</v>
      </c>
      <c r="G302" s="3">
        <v>8.1199999999999992</v>
      </c>
      <c r="H302" s="3">
        <v>6.8</v>
      </c>
      <c r="I302" s="3">
        <v>20.350000000000001</v>
      </c>
      <c r="J302" s="3">
        <v>10.29</v>
      </c>
      <c r="K302" s="2"/>
      <c r="L302" s="20"/>
      <c r="M302" s="3">
        <v>0.89</v>
      </c>
      <c r="N302" s="2" t="s">
        <v>16</v>
      </c>
      <c r="O302" s="4" t="s">
        <v>17</v>
      </c>
      <c r="P302" s="18" t="s">
        <v>350</v>
      </c>
      <c r="Q302" s="5">
        <f t="shared" si="12"/>
        <v>8.14</v>
      </c>
      <c r="R302" s="5">
        <f t="shared" si="13"/>
        <v>5.1449999999999996</v>
      </c>
      <c r="S302" s="5">
        <f t="shared" si="13"/>
        <v>0.44500000000000001</v>
      </c>
      <c r="T302" s="23">
        <f>('Investor-Inputs'!$G$19 * Q302) + ('Investor-Inputs'!$J$19 * R302) + ('Investor-Inputs'!$N$19 * S302)</f>
        <v>35.155000000000001</v>
      </c>
      <c r="U302" s="27">
        <f t="shared" si="14"/>
        <v>389</v>
      </c>
    </row>
    <row r="303" spans="3:21" x14ac:dyDescent="0.25">
      <c r="C303" s="2" t="s">
        <v>21</v>
      </c>
      <c r="D303" s="2">
        <v>4</v>
      </c>
      <c r="E303" s="2" t="s">
        <v>14</v>
      </c>
      <c r="F303" s="2" t="s">
        <v>15</v>
      </c>
      <c r="G303" s="3">
        <v>2.79</v>
      </c>
      <c r="H303" s="3">
        <v>-2.89</v>
      </c>
      <c r="I303" s="3">
        <v>14.78</v>
      </c>
      <c r="J303" s="3">
        <v>7.14</v>
      </c>
      <c r="K303" s="3">
        <v>12.89</v>
      </c>
      <c r="L303" s="21">
        <v>10.4</v>
      </c>
      <c r="M303" s="3">
        <v>2.2400000000000002</v>
      </c>
      <c r="N303" s="2" t="s">
        <v>16</v>
      </c>
      <c r="O303" s="4" t="s">
        <v>17</v>
      </c>
      <c r="P303" s="18" t="s">
        <v>350</v>
      </c>
      <c r="Q303" s="5">
        <f t="shared" si="12"/>
        <v>12.356999999999999</v>
      </c>
      <c r="R303" s="5">
        <f t="shared" si="13"/>
        <v>8.77</v>
      </c>
      <c r="S303" s="5">
        <f t="shared" si="13"/>
        <v>7.5650000000000004</v>
      </c>
      <c r="T303" s="23">
        <f>('Investor-Inputs'!$G$19 * Q303) + ('Investor-Inputs'!$J$19 * R303) + ('Investor-Inputs'!$N$19 * S303)</f>
        <v>62.175999999999995</v>
      </c>
      <c r="U303" s="27">
        <f t="shared" si="14"/>
        <v>226</v>
      </c>
    </row>
    <row r="304" spans="3:21" x14ac:dyDescent="0.25">
      <c r="C304" s="2" t="s">
        <v>22</v>
      </c>
      <c r="D304" s="2">
        <v>4</v>
      </c>
      <c r="E304" s="2" t="s">
        <v>14</v>
      </c>
      <c r="F304" s="2" t="s">
        <v>15</v>
      </c>
      <c r="G304" s="3">
        <v>2.57</v>
      </c>
      <c r="H304" s="3">
        <v>-0.27</v>
      </c>
      <c r="I304" s="3">
        <v>14.44</v>
      </c>
      <c r="J304" s="3">
        <v>6.72</v>
      </c>
      <c r="K304" s="3">
        <v>13.07</v>
      </c>
      <c r="L304" s="21">
        <v>10.53</v>
      </c>
      <c r="M304" s="3">
        <v>2</v>
      </c>
      <c r="N304" s="2" t="s">
        <v>16</v>
      </c>
      <c r="O304" s="4" t="s">
        <v>17</v>
      </c>
      <c r="P304" s="18" t="s">
        <v>350</v>
      </c>
      <c r="Q304" s="5">
        <f t="shared" si="12"/>
        <v>12.311</v>
      </c>
      <c r="R304" s="5">
        <f t="shared" si="13"/>
        <v>8.625</v>
      </c>
      <c r="S304" s="5">
        <f t="shared" si="13"/>
        <v>7.5350000000000001</v>
      </c>
      <c r="T304" s="23">
        <f>('Investor-Inputs'!$G$19 * Q304) + ('Investor-Inputs'!$J$19 * R304) + ('Investor-Inputs'!$N$19 * S304)</f>
        <v>61.718000000000004</v>
      </c>
      <c r="U304" s="27">
        <f t="shared" si="14"/>
        <v>230</v>
      </c>
    </row>
    <row r="305" spans="3:21" x14ac:dyDescent="0.25">
      <c r="C305" s="2" t="s">
        <v>23</v>
      </c>
      <c r="D305" s="2">
        <v>4</v>
      </c>
      <c r="E305" s="2" t="s">
        <v>14</v>
      </c>
      <c r="F305" s="2" t="s">
        <v>15</v>
      </c>
      <c r="G305" s="3">
        <v>-1.43</v>
      </c>
      <c r="H305" s="3">
        <v>-6.93</v>
      </c>
      <c r="I305" s="3">
        <v>12.6</v>
      </c>
      <c r="J305" s="3">
        <v>4.99</v>
      </c>
      <c r="K305" s="3">
        <v>11.37</v>
      </c>
      <c r="L305" s="21">
        <v>8.7100000000000009</v>
      </c>
      <c r="M305" s="3">
        <v>1.75</v>
      </c>
      <c r="N305" s="2" t="s">
        <v>16</v>
      </c>
      <c r="O305" s="4" t="s">
        <v>24</v>
      </c>
      <c r="P305" s="18" t="s">
        <v>350</v>
      </c>
      <c r="Q305" s="5">
        <f t="shared" si="12"/>
        <v>10.725</v>
      </c>
      <c r="R305" s="5">
        <f t="shared" si="13"/>
        <v>6.8500000000000005</v>
      </c>
      <c r="S305" s="5">
        <f t="shared" si="13"/>
        <v>6.56</v>
      </c>
      <c r="T305" s="23">
        <f>('Investor-Inputs'!$G$19 * Q305) + ('Investor-Inputs'!$J$19 * R305) + ('Investor-Inputs'!$N$19 * S305)</f>
        <v>52.435000000000002</v>
      </c>
      <c r="U305" s="27">
        <f t="shared" si="14"/>
        <v>275</v>
      </c>
    </row>
    <row r="306" spans="3:21" x14ac:dyDescent="0.25">
      <c r="C306" s="2" t="s">
        <v>25</v>
      </c>
      <c r="D306" s="2">
        <v>5</v>
      </c>
      <c r="E306" s="2" t="s">
        <v>14</v>
      </c>
      <c r="F306" s="2" t="s">
        <v>15</v>
      </c>
      <c r="G306" s="3">
        <v>-2.41</v>
      </c>
      <c r="H306" s="3">
        <v>-6.84</v>
      </c>
      <c r="I306" s="3">
        <v>15.09</v>
      </c>
      <c r="J306" s="3">
        <v>6.23</v>
      </c>
      <c r="K306" s="3">
        <v>12.28</v>
      </c>
      <c r="L306" s="21">
        <v>10.35</v>
      </c>
      <c r="M306" s="3">
        <v>2.52</v>
      </c>
      <c r="N306" s="2" t="s">
        <v>16</v>
      </c>
      <c r="O306" s="4" t="s">
        <v>17</v>
      </c>
      <c r="P306" s="18" t="s">
        <v>350</v>
      </c>
      <c r="Q306" s="5">
        <f t="shared" si="12"/>
        <v>12.176</v>
      </c>
      <c r="R306" s="5">
        <f t="shared" si="13"/>
        <v>8.2899999999999991</v>
      </c>
      <c r="S306" s="5">
        <f t="shared" si="13"/>
        <v>7.3999999999999995</v>
      </c>
      <c r="T306" s="23">
        <f>('Investor-Inputs'!$G$19 * Q306) + ('Investor-Inputs'!$J$19 * R306) + ('Investor-Inputs'!$N$19 * S306)</f>
        <v>60.507999999999996</v>
      </c>
      <c r="U306" s="27">
        <f t="shared" si="14"/>
        <v>236</v>
      </c>
    </row>
    <row r="307" spans="3:21" x14ac:dyDescent="0.25">
      <c r="C307" s="2" t="s">
        <v>26</v>
      </c>
      <c r="D307" s="2">
        <v>5</v>
      </c>
      <c r="E307" s="2" t="s">
        <v>14</v>
      </c>
      <c r="F307" s="2" t="s">
        <v>15</v>
      </c>
      <c r="G307" s="3">
        <v>6.81</v>
      </c>
      <c r="H307" s="3">
        <v>2.67</v>
      </c>
      <c r="I307" s="3">
        <v>15.95</v>
      </c>
      <c r="J307" s="3">
        <v>8.77</v>
      </c>
      <c r="K307" s="3">
        <v>14.83</v>
      </c>
      <c r="L307" s="21">
        <v>12.24</v>
      </c>
      <c r="M307" s="3">
        <v>0.95</v>
      </c>
      <c r="N307" s="2" t="s">
        <v>16</v>
      </c>
      <c r="O307" s="4" t="s">
        <v>17</v>
      </c>
      <c r="P307" s="18" t="s">
        <v>350</v>
      </c>
      <c r="Q307" s="5">
        <f t="shared" si="12"/>
        <v>13.795</v>
      </c>
      <c r="R307" s="5">
        <f t="shared" si="13"/>
        <v>10.504999999999999</v>
      </c>
      <c r="S307" s="5">
        <f t="shared" si="13"/>
        <v>7.89</v>
      </c>
      <c r="T307" s="23">
        <f>('Investor-Inputs'!$G$19 * Q307) + ('Investor-Inputs'!$J$19 * R307) + ('Investor-Inputs'!$N$19 * S307)</f>
        <v>70.284999999999997</v>
      </c>
      <c r="U307" s="27">
        <f t="shared" si="14"/>
        <v>192</v>
      </c>
    </row>
    <row r="308" spans="3:21" x14ac:dyDescent="0.25">
      <c r="C308" s="2" t="s">
        <v>27</v>
      </c>
      <c r="D308" s="2">
        <v>4</v>
      </c>
      <c r="E308" s="2" t="s">
        <v>14</v>
      </c>
      <c r="F308" s="2" t="s">
        <v>15</v>
      </c>
      <c r="G308" s="3">
        <v>8.35</v>
      </c>
      <c r="H308" s="3">
        <v>6.86</v>
      </c>
      <c r="I308" s="3">
        <v>20.83</v>
      </c>
      <c r="J308" s="3">
        <v>10.65</v>
      </c>
      <c r="K308" s="3">
        <v>15.1</v>
      </c>
      <c r="L308" s="21">
        <v>13.33</v>
      </c>
      <c r="M308" s="3">
        <v>0.98</v>
      </c>
      <c r="N308" s="2" t="s">
        <v>16</v>
      </c>
      <c r="O308" s="4" t="s">
        <v>28</v>
      </c>
      <c r="P308" s="18" t="s">
        <v>350</v>
      </c>
      <c r="Q308" s="5">
        <f t="shared" si="12"/>
        <v>15.881999999999998</v>
      </c>
      <c r="R308" s="5">
        <f t="shared" si="13"/>
        <v>11.99</v>
      </c>
      <c r="S308" s="5">
        <f t="shared" si="13"/>
        <v>8.0399999999999991</v>
      </c>
      <c r="T308" s="23">
        <f>('Investor-Inputs'!$G$19 * Q308) + ('Investor-Inputs'!$J$19 * R308) + ('Investor-Inputs'!$N$19 * S308)</f>
        <v>79.665999999999997</v>
      </c>
      <c r="U308" s="27">
        <f t="shared" si="14"/>
        <v>132</v>
      </c>
    </row>
    <row r="309" spans="3:21" x14ac:dyDescent="0.25">
      <c r="C309" s="2" t="s">
        <v>29</v>
      </c>
      <c r="D309" s="2">
        <v>4</v>
      </c>
      <c r="E309" s="2" t="s">
        <v>14</v>
      </c>
      <c r="F309" s="2" t="s">
        <v>15</v>
      </c>
      <c r="G309" s="3">
        <v>-0.09</v>
      </c>
      <c r="H309" s="3">
        <v>-5.13</v>
      </c>
      <c r="I309" s="3">
        <v>12.29</v>
      </c>
      <c r="J309" s="3">
        <v>4.59</v>
      </c>
      <c r="K309" s="3">
        <v>12.11</v>
      </c>
      <c r="L309" s="21">
        <v>9</v>
      </c>
      <c r="M309" s="3">
        <v>2.12</v>
      </c>
      <c r="N309" s="2" t="s">
        <v>16</v>
      </c>
      <c r="O309" s="4" t="s">
        <v>24</v>
      </c>
      <c r="P309" s="18" t="s">
        <v>350</v>
      </c>
      <c r="Q309" s="5">
        <f t="shared" si="12"/>
        <v>10.971</v>
      </c>
      <c r="R309" s="5">
        <f t="shared" si="13"/>
        <v>6.7949999999999999</v>
      </c>
      <c r="S309" s="5">
        <f t="shared" si="13"/>
        <v>7.1150000000000002</v>
      </c>
      <c r="T309" s="23">
        <f>('Investor-Inputs'!$G$19 * Q309) + ('Investor-Inputs'!$J$19 * R309) + ('Investor-Inputs'!$N$19 * S309)</f>
        <v>53.618000000000002</v>
      </c>
      <c r="U309" s="27">
        <f t="shared" si="14"/>
        <v>273</v>
      </c>
    </row>
    <row r="310" spans="3:21" x14ac:dyDescent="0.25">
      <c r="C310" s="2" t="s">
        <v>30</v>
      </c>
      <c r="D310" s="2">
        <v>5</v>
      </c>
      <c r="E310" s="2" t="s">
        <v>14</v>
      </c>
      <c r="F310" s="2" t="s">
        <v>15</v>
      </c>
      <c r="G310" s="3">
        <v>-1.59</v>
      </c>
      <c r="H310" s="3">
        <v>-6.6</v>
      </c>
      <c r="I310" s="3">
        <v>12.48</v>
      </c>
      <c r="J310" s="3">
        <v>3.95</v>
      </c>
      <c r="K310" s="3">
        <v>13.84</v>
      </c>
      <c r="L310" s="21">
        <v>9.59</v>
      </c>
      <c r="M310" s="3">
        <v>1.58</v>
      </c>
      <c r="N310" s="2" t="s">
        <v>16</v>
      </c>
      <c r="O310" s="4" t="s">
        <v>17</v>
      </c>
      <c r="P310" s="18" t="s">
        <v>350</v>
      </c>
      <c r="Q310" s="5">
        <f t="shared" si="12"/>
        <v>11.912000000000001</v>
      </c>
      <c r="R310" s="5">
        <f t="shared" si="13"/>
        <v>6.77</v>
      </c>
      <c r="S310" s="5">
        <f t="shared" si="13"/>
        <v>7.71</v>
      </c>
      <c r="T310" s="23">
        <f>('Investor-Inputs'!$G$19 * Q310) + ('Investor-Inputs'!$J$19 * R310) + ('Investor-Inputs'!$N$19 * S310)</f>
        <v>56.986000000000004</v>
      </c>
      <c r="U310" s="27">
        <f t="shared" si="14"/>
        <v>246</v>
      </c>
    </row>
    <row r="311" spans="3:21" x14ac:dyDescent="0.25">
      <c r="C311" s="2" t="s">
        <v>31</v>
      </c>
      <c r="D311" s="2">
        <v>4</v>
      </c>
      <c r="E311" s="2" t="s">
        <v>14</v>
      </c>
      <c r="F311" s="2" t="s">
        <v>15</v>
      </c>
      <c r="G311" s="3">
        <v>7.88</v>
      </c>
      <c r="H311" s="3">
        <v>4.9000000000000004</v>
      </c>
      <c r="I311" s="3">
        <v>18.079999999999998</v>
      </c>
      <c r="J311" s="3">
        <v>9.68</v>
      </c>
      <c r="K311" s="2"/>
      <c r="L311" s="20"/>
      <c r="M311" s="3">
        <v>0.88</v>
      </c>
      <c r="N311" s="2" t="s">
        <v>16</v>
      </c>
      <c r="O311" s="4" t="s">
        <v>17</v>
      </c>
      <c r="P311" s="18" t="s">
        <v>350</v>
      </c>
      <c r="Q311" s="5">
        <f t="shared" si="12"/>
        <v>7.2319999999999993</v>
      </c>
      <c r="R311" s="5">
        <f t="shared" si="13"/>
        <v>4.84</v>
      </c>
      <c r="S311" s="5">
        <f t="shared" si="13"/>
        <v>0.44</v>
      </c>
      <c r="T311" s="23">
        <f>('Investor-Inputs'!$G$19 * Q311) + ('Investor-Inputs'!$J$19 * R311) + ('Investor-Inputs'!$N$19 * S311)</f>
        <v>31.815999999999999</v>
      </c>
      <c r="U311" s="27">
        <f t="shared" si="14"/>
        <v>504</v>
      </c>
    </row>
    <row r="312" spans="3:21" x14ac:dyDescent="0.25">
      <c r="C312" s="2" t="s">
        <v>32</v>
      </c>
      <c r="D312" s="2">
        <v>5</v>
      </c>
      <c r="E312" s="2" t="s">
        <v>14</v>
      </c>
      <c r="F312" s="2" t="s">
        <v>15</v>
      </c>
      <c r="G312" s="3">
        <v>6.85</v>
      </c>
      <c r="H312" s="3">
        <v>2.71</v>
      </c>
      <c r="I312" s="3">
        <v>16.02</v>
      </c>
      <c r="J312" s="3">
        <v>8.85</v>
      </c>
      <c r="K312" s="2"/>
      <c r="L312" s="20"/>
      <c r="M312" s="3">
        <v>1</v>
      </c>
      <c r="N312" s="2" t="s">
        <v>16</v>
      </c>
      <c r="O312" s="4" t="s">
        <v>17</v>
      </c>
      <c r="P312" s="18" t="s">
        <v>350</v>
      </c>
      <c r="Q312" s="5">
        <f t="shared" si="12"/>
        <v>6.4080000000000004</v>
      </c>
      <c r="R312" s="5">
        <f t="shared" si="13"/>
        <v>4.4249999999999998</v>
      </c>
      <c r="S312" s="5">
        <f t="shared" si="13"/>
        <v>0.5</v>
      </c>
      <c r="T312" s="23">
        <f>('Investor-Inputs'!$G$19 * Q312) + ('Investor-Inputs'!$J$19 * R312) + ('Investor-Inputs'!$N$19 * S312)</f>
        <v>28.573999999999998</v>
      </c>
      <c r="U312" s="27">
        <f t="shared" si="14"/>
        <v>546</v>
      </c>
    </row>
    <row r="313" spans="3:21" x14ac:dyDescent="0.25">
      <c r="C313" s="2" t="s">
        <v>33</v>
      </c>
      <c r="D313" s="2">
        <v>5</v>
      </c>
      <c r="E313" s="2" t="s">
        <v>14</v>
      </c>
      <c r="F313" s="2" t="s">
        <v>15</v>
      </c>
      <c r="G313" s="3">
        <v>17.399999999999999</v>
      </c>
      <c r="H313" s="3">
        <v>18.98</v>
      </c>
      <c r="I313" s="3">
        <v>25.53</v>
      </c>
      <c r="J313" s="3">
        <v>16.37</v>
      </c>
      <c r="K313" s="3">
        <v>28</v>
      </c>
      <c r="L313" s="21">
        <v>23.73</v>
      </c>
      <c r="M313" s="3">
        <v>0.14000000000000001</v>
      </c>
      <c r="N313" s="2" t="s">
        <v>16</v>
      </c>
      <c r="O313" s="4" t="s">
        <v>28</v>
      </c>
      <c r="P313" s="18" t="s">
        <v>350</v>
      </c>
      <c r="Q313" s="5">
        <f t="shared" si="12"/>
        <v>24.212000000000003</v>
      </c>
      <c r="R313" s="5">
        <f t="shared" si="13"/>
        <v>20.05</v>
      </c>
      <c r="S313" s="5">
        <f t="shared" si="13"/>
        <v>14.07</v>
      </c>
      <c r="T313" s="23">
        <f>('Investor-Inputs'!$G$19 * Q313) + ('Investor-Inputs'!$J$19 * R313) + ('Investor-Inputs'!$N$19 * S313)</f>
        <v>126.80600000000001</v>
      </c>
      <c r="U313" s="27">
        <f t="shared" si="14"/>
        <v>7</v>
      </c>
    </row>
    <row r="314" spans="3:21" x14ac:dyDescent="0.25">
      <c r="C314" s="2" t="s">
        <v>34</v>
      </c>
      <c r="D314" s="2">
        <v>5</v>
      </c>
      <c r="E314" s="2" t="s">
        <v>14</v>
      </c>
      <c r="F314" s="2" t="s">
        <v>15</v>
      </c>
      <c r="G314" s="3">
        <v>7.0000000000000007E-2</v>
      </c>
      <c r="H314" s="3">
        <v>-5.94</v>
      </c>
      <c r="I314" s="3">
        <v>15.26</v>
      </c>
      <c r="J314" s="3">
        <v>6.51</v>
      </c>
      <c r="K314" s="3">
        <v>14.67</v>
      </c>
      <c r="L314" s="21">
        <v>11.25</v>
      </c>
      <c r="M314" s="3">
        <v>3.59</v>
      </c>
      <c r="N314" s="2" t="s">
        <v>16</v>
      </c>
      <c r="O314" s="4" t="s">
        <v>17</v>
      </c>
      <c r="P314" s="18" t="s">
        <v>350</v>
      </c>
      <c r="Q314" s="5">
        <f t="shared" si="12"/>
        <v>13.439</v>
      </c>
      <c r="R314" s="5">
        <f t="shared" si="13"/>
        <v>8.879999999999999</v>
      </c>
      <c r="S314" s="5">
        <f t="shared" si="13"/>
        <v>9.129999999999999</v>
      </c>
      <c r="T314" s="23">
        <f>('Investor-Inputs'!$G$19 * Q314) + ('Investor-Inputs'!$J$19 * R314) + ('Investor-Inputs'!$N$19 * S314)</f>
        <v>67.206999999999994</v>
      </c>
      <c r="U314" s="27">
        <f t="shared" si="14"/>
        <v>202</v>
      </c>
    </row>
    <row r="315" spans="3:21" x14ac:dyDescent="0.25">
      <c r="C315" s="2" t="s">
        <v>35</v>
      </c>
      <c r="D315" s="2">
        <v>4</v>
      </c>
      <c r="E315" s="2" t="s">
        <v>14</v>
      </c>
      <c r="F315" s="2" t="s">
        <v>15</v>
      </c>
      <c r="G315" s="3">
        <v>1.08</v>
      </c>
      <c r="H315" s="3">
        <v>-4.13</v>
      </c>
      <c r="I315" s="3">
        <v>13.56</v>
      </c>
      <c r="J315" s="3">
        <v>5.49</v>
      </c>
      <c r="K315" s="3">
        <v>12.11</v>
      </c>
      <c r="L315" s="21">
        <v>9.43</v>
      </c>
      <c r="M315" s="3">
        <v>0.57999999999999996</v>
      </c>
      <c r="N315" s="2" t="s">
        <v>16</v>
      </c>
      <c r="O315" s="4" t="s">
        <v>24</v>
      </c>
      <c r="P315" s="18" t="s">
        <v>350</v>
      </c>
      <c r="Q315" s="5">
        <f t="shared" si="12"/>
        <v>11.478999999999999</v>
      </c>
      <c r="R315" s="5">
        <f t="shared" si="13"/>
        <v>7.46</v>
      </c>
      <c r="S315" s="5">
        <f t="shared" si="13"/>
        <v>6.3449999999999998</v>
      </c>
      <c r="T315" s="23">
        <f>('Investor-Inputs'!$G$19 * Q315) + ('Investor-Inputs'!$J$19 * R315) + ('Investor-Inputs'!$N$19 * S315)</f>
        <v>55.701999999999998</v>
      </c>
      <c r="U315" s="27">
        <f t="shared" si="14"/>
        <v>258</v>
      </c>
    </row>
    <row r="316" spans="3:21" x14ac:dyDescent="0.25">
      <c r="C316" s="2" t="s">
        <v>36</v>
      </c>
      <c r="D316" s="2">
        <v>4</v>
      </c>
      <c r="E316" s="2" t="s">
        <v>14</v>
      </c>
      <c r="F316" s="2" t="s">
        <v>15</v>
      </c>
      <c r="G316" s="3">
        <v>6.65</v>
      </c>
      <c r="H316" s="3">
        <v>2.5299999999999998</v>
      </c>
      <c r="I316" s="3">
        <v>15.8</v>
      </c>
      <c r="J316" s="3">
        <v>8.67</v>
      </c>
      <c r="K316" s="2"/>
      <c r="L316" s="20"/>
      <c r="M316" s="3">
        <v>1.25</v>
      </c>
      <c r="N316" s="2" t="s">
        <v>16</v>
      </c>
      <c r="O316" s="4" t="s">
        <v>17</v>
      </c>
      <c r="P316" s="18" t="s">
        <v>350</v>
      </c>
      <c r="Q316" s="5">
        <f t="shared" si="12"/>
        <v>6.32</v>
      </c>
      <c r="R316" s="5">
        <f t="shared" si="13"/>
        <v>4.335</v>
      </c>
      <c r="S316" s="5">
        <f t="shared" si="13"/>
        <v>0.625</v>
      </c>
      <c r="T316" s="23">
        <f>('Investor-Inputs'!$G$19 * Q316) + ('Investor-Inputs'!$J$19 * R316) + ('Investor-Inputs'!$N$19 * S316)</f>
        <v>28.255000000000003</v>
      </c>
      <c r="U316" s="27">
        <f t="shared" si="14"/>
        <v>552</v>
      </c>
    </row>
    <row r="317" spans="3:21" x14ac:dyDescent="0.25">
      <c r="C317" s="2" t="s">
        <v>37</v>
      </c>
      <c r="D317" s="2">
        <v>4</v>
      </c>
      <c r="E317" s="2" t="s">
        <v>14</v>
      </c>
      <c r="F317" s="2" t="s">
        <v>15</v>
      </c>
      <c r="G317" s="3">
        <v>2.12</v>
      </c>
      <c r="H317" s="3">
        <v>-3.12</v>
      </c>
      <c r="I317" s="3">
        <v>15.53</v>
      </c>
      <c r="J317" s="3">
        <v>7</v>
      </c>
      <c r="K317" s="3">
        <v>13.55</v>
      </c>
      <c r="L317" s="21">
        <v>10.5</v>
      </c>
      <c r="M317" s="3">
        <v>2.08</v>
      </c>
      <c r="N317" s="2" t="s">
        <v>16</v>
      </c>
      <c r="O317" s="4" t="s">
        <v>17</v>
      </c>
      <c r="P317" s="18" t="s">
        <v>350</v>
      </c>
      <c r="Q317" s="5">
        <f t="shared" si="12"/>
        <v>12.987</v>
      </c>
      <c r="R317" s="5">
        <f t="shared" si="13"/>
        <v>8.75</v>
      </c>
      <c r="S317" s="5">
        <f t="shared" si="13"/>
        <v>7.8150000000000004</v>
      </c>
      <c r="T317" s="23">
        <f>('Investor-Inputs'!$G$19 * Q317) + ('Investor-Inputs'!$J$19 * R317) + ('Investor-Inputs'!$N$19 * S317)</f>
        <v>64.275999999999996</v>
      </c>
      <c r="U317" s="27">
        <f t="shared" si="14"/>
        <v>212</v>
      </c>
    </row>
    <row r="318" spans="3:21" x14ac:dyDescent="0.25">
      <c r="C318" s="2" t="s">
        <v>38</v>
      </c>
      <c r="D318" s="2">
        <v>4</v>
      </c>
      <c r="E318" s="2" t="s">
        <v>14</v>
      </c>
      <c r="F318" s="2" t="s">
        <v>15</v>
      </c>
      <c r="G318" s="3">
        <v>0.86</v>
      </c>
      <c r="H318" s="3">
        <v>-5.19</v>
      </c>
      <c r="I318" s="3">
        <v>12.92</v>
      </c>
      <c r="J318" s="3">
        <v>5.64</v>
      </c>
      <c r="K318" s="3">
        <v>12.12</v>
      </c>
      <c r="L318" s="21">
        <v>9.24</v>
      </c>
      <c r="M318" s="3">
        <v>1.89</v>
      </c>
      <c r="N318" s="2" t="s">
        <v>16</v>
      </c>
      <c r="O318" s="4" t="s">
        <v>24</v>
      </c>
      <c r="P318" s="18" t="s">
        <v>350</v>
      </c>
      <c r="Q318" s="5">
        <f t="shared" si="12"/>
        <v>11.228</v>
      </c>
      <c r="R318" s="5">
        <f t="shared" si="13"/>
        <v>7.4399999999999995</v>
      </c>
      <c r="S318" s="5">
        <f t="shared" si="13"/>
        <v>7.0049999999999999</v>
      </c>
      <c r="T318" s="23">
        <f>('Investor-Inputs'!$G$19 * Q318) + ('Investor-Inputs'!$J$19 * R318) + ('Investor-Inputs'!$N$19 * S318)</f>
        <v>55.568999999999996</v>
      </c>
      <c r="U318" s="27">
        <f t="shared" si="14"/>
        <v>262</v>
      </c>
    </row>
    <row r="319" spans="3:21" x14ac:dyDescent="0.25">
      <c r="C319" s="2" t="s">
        <v>39</v>
      </c>
      <c r="D319" s="2">
        <v>4</v>
      </c>
      <c r="E319" s="2" t="s">
        <v>14</v>
      </c>
      <c r="F319" s="2" t="s">
        <v>15</v>
      </c>
      <c r="G319" s="3">
        <v>8.33</v>
      </c>
      <c r="H319" s="3">
        <v>6.98</v>
      </c>
      <c r="I319" s="3">
        <v>20.72</v>
      </c>
      <c r="J319" s="3">
        <v>10.66</v>
      </c>
      <c r="K319" s="3">
        <v>15.03</v>
      </c>
      <c r="L319" s="21">
        <v>13.29</v>
      </c>
      <c r="M319" s="3">
        <v>0.9</v>
      </c>
      <c r="N319" s="2" t="s">
        <v>16</v>
      </c>
      <c r="O319" s="4" t="s">
        <v>28</v>
      </c>
      <c r="P319" s="18" t="s">
        <v>350</v>
      </c>
      <c r="Q319" s="5">
        <f t="shared" si="12"/>
        <v>15.803000000000001</v>
      </c>
      <c r="R319" s="5">
        <f t="shared" si="13"/>
        <v>11.975</v>
      </c>
      <c r="S319" s="5">
        <f t="shared" si="13"/>
        <v>7.9649999999999999</v>
      </c>
      <c r="T319" s="23">
        <f>('Investor-Inputs'!$G$19 * Q319) + ('Investor-Inputs'!$J$19 * R319) + ('Investor-Inputs'!$N$19 * S319)</f>
        <v>79.324000000000012</v>
      </c>
      <c r="U319" s="27">
        <f t="shared" si="14"/>
        <v>134</v>
      </c>
    </row>
    <row r="320" spans="3:21" x14ac:dyDescent="0.25">
      <c r="C320" s="2" t="s">
        <v>40</v>
      </c>
      <c r="D320" s="2">
        <v>4</v>
      </c>
      <c r="E320" s="2" t="s">
        <v>14</v>
      </c>
      <c r="F320" s="2" t="s">
        <v>15</v>
      </c>
      <c r="G320" s="3">
        <v>3.38</v>
      </c>
      <c r="H320" s="3">
        <v>-1.33</v>
      </c>
      <c r="I320" s="3">
        <v>14.48</v>
      </c>
      <c r="J320" s="3">
        <v>6.77</v>
      </c>
      <c r="K320" s="3">
        <v>13.29</v>
      </c>
      <c r="L320" s="21">
        <v>10.45</v>
      </c>
      <c r="M320" s="3">
        <v>0.11</v>
      </c>
      <c r="N320" s="2" t="s">
        <v>16</v>
      </c>
      <c r="O320" s="4" t="s">
        <v>17</v>
      </c>
      <c r="P320" s="18" t="s">
        <v>350</v>
      </c>
      <c r="Q320" s="5">
        <f t="shared" si="12"/>
        <v>12.437000000000001</v>
      </c>
      <c r="R320" s="5">
        <f t="shared" si="13"/>
        <v>8.61</v>
      </c>
      <c r="S320" s="5">
        <f t="shared" si="13"/>
        <v>6.6999999999999993</v>
      </c>
      <c r="T320" s="23">
        <f>('Investor-Inputs'!$G$19 * Q320) + ('Investor-Inputs'!$J$19 * R320) + ('Investor-Inputs'!$N$19 * S320)</f>
        <v>61.231000000000009</v>
      </c>
      <c r="U320" s="27">
        <f t="shared" si="14"/>
        <v>232</v>
      </c>
    </row>
    <row r="321" spans="3:21" x14ac:dyDescent="0.25">
      <c r="C321" s="2" t="s">
        <v>41</v>
      </c>
      <c r="D321" s="2">
        <v>4</v>
      </c>
      <c r="E321" s="2" t="s">
        <v>14</v>
      </c>
      <c r="F321" s="2" t="s">
        <v>15</v>
      </c>
      <c r="G321" s="3">
        <v>7.86</v>
      </c>
      <c r="H321" s="3">
        <v>6.38</v>
      </c>
      <c r="I321" s="3">
        <v>20.48</v>
      </c>
      <c r="J321" s="3">
        <v>10.34</v>
      </c>
      <c r="K321" s="2"/>
      <c r="L321" s="20"/>
      <c r="M321" s="3">
        <v>1.07</v>
      </c>
      <c r="N321" s="2" t="s">
        <v>16</v>
      </c>
      <c r="O321" s="4" t="s">
        <v>17</v>
      </c>
      <c r="P321" s="18" t="s">
        <v>350</v>
      </c>
      <c r="Q321" s="5">
        <f t="shared" si="12"/>
        <v>8.1920000000000002</v>
      </c>
      <c r="R321" s="5">
        <f t="shared" si="13"/>
        <v>5.17</v>
      </c>
      <c r="S321" s="5">
        <f t="shared" si="13"/>
        <v>0.53500000000000003</v>
      </c>
      <c r="T321" s="23">
        <f>('Investor-Inputs'!$G$19 * Q321) + ('Investor-Inputs'!$J$19 * R321) + ('Investor-Inputs'!$N$19 * S321)</f>
        <v>35.450999999999993</v>
      </c>
      <c r="U321" s="27">
        <f t="shared" si="14"/>
        <v>383</v>
      </c>
    </row>
    <row r="322" spans="3:21" x14ac:dyDescent="0.25">
      <c r="C322" s="2" t="s">
        <v>42</v>
      </c>
      <c r="D322" s="2">
        <v>5</v>
      </c>
      <c r="E322" s="2" t="s">
        <v>14</v>
      </c>
      <c r="F322" s="2" t="s">
        <v>15</v>
      </c>
      <c r="G322" s="3">
        <v>3.05</v>
      </c>
      <c r="H322" s="3">
        <v>-3.29</v>
      </c>
      <c r="I322" s="3">
        <v>16.16</v>
      </c>
      <c r="J322" s="3">
        <v>7.34</v>
      </c>
      <c r="K322" s="3">
        <v>17.079999999999998</v>
      </c>
      <c r="L322" s="21">
        <v>12.88</v>
      </c>
      <c r="M322" s="3">
        <v>2.08</v>
      </c>
      <c r="N322" s="2" t="s">
        <v>16</v>
      </c>
      <c r="O322" s="4" t="s">
        <v>17</v>
      </c>
      <c r="P322" s="18" t="s">
        <v>350</v>
      </c>
      <c r="Q322" s="5">
        <f t="shared" si="12"/>
        <v>15.004</v>
      </c>
      <c r="R322" s="5">
        <f t="shared" si="13"/>
        <v>10.11</v>
      </c>
      <c r="S322" s="5">
        <f t="shared" si="13"/>
        <v>9.5799999999999983</v>
      </c>
      <c r="T322" s="23">
        <f>('Investor-Inputs'!$G$19 * Q322) + ('Investor-Inputs'!$J$19 * R322) + ('Investor-Inputs'!$N$19 * S322)</f>
        <v>74.811999999999998</v>
      </c>
      <c r="U322" s="27">
        <f t="shared" si="14"/>
        <v>162</v>
      </c>
    </row>
    <row r="323" spans="3:21" x14ac:dyDescent="0.25">
      <c r="C323" s="2" t="s">
        <v>43</v>
      </c>
      <c r="D323" s="2">
        <v>4</v>
      </c>
      <c r="E323" s="2" t="s">
        <v>14</v>
      </c>
      <c r="F323" s="2" t="s">
        <v>15</v>
      </c>
      <c r="G323" s="3">
        <v>9.02</v>
      </c>
      <c r="H323" s="3">
        <v>7.57</v>
      </c>
      <c r="I323" s="3">
        <v>21.18</v>
      </c>
      <c r="J323" s="3">
        <v>11.12</v>
      </c>
      <c r="K323" s="3">
        <v>15.23</v>
      </c>
      <c r="L323" s="21">
        <v>13.65</v>
      </c>
      <c r="M323" s="3">
        <v>0.3</v>
      </c>
      <c r="N323" s="2" t="s">
        <v>16</v>
      </c>
      <c r="O323" s="4" t="s">
        <v>28</v>
      </c>
      <c r="P323" s="18" t="s">
        <v>350</v>
      </c>
      <c r="Q323" s="5">
        <f t="shared" si="12"/>
        <v>16.087</v>
      </c>
      <c r="R323" s="5">
        <f t="shared" si="13"/>
        <v>12.385</v>
      </c>
      <c r="S323" s="5">
        <f t="shared" si="13"/>
        <v>7.7650000000000006</v>
      </c>
      <c r="T323" s="23">
        <f>('Investor-Inputs'!$G$19 * Q323) + ('Investor-Inputs'!$J$19 * R323) + ('Investor-Inputs'!$N$19 * S323)</f>
        <v>80.795999999999992</v>
      </c>
      <c r="U323" s="27">
        <f t="shared" si="14"/>
        <v>130</v>
      </c>
    </row>
    <row r="324" spans="3:21" x14ac:dyDescent="0.25">
      <c r="C324" s="2" t="s">
        <v>44</v>
      </c>
      <c r="D324" s="2">
        <v>4</v>
      </c>
      <c r="E324" s="2" t="s">
        <v>14</v>
      </c>
      <c r="F324" s="2" t="s">
        <v>15</v>
      </c>
      <c r="G324" s="3">
        <v>2.3199999999999998</v>
      </c>
      <c r="H324" s="3">
        <v>-2.17</v>
      </c>
      <c r="I324" s="3">
        <v>12.03</v>
      </c>
      <c r="J324" s="3">
        <v>6.1</v>
      </c>
      <c r="K324" s="3"/>
      <c r="L324" s="21"/>
      <c r="M324" s="3">
        <v>1.47</v>
      </c>
      <c r="N324" s="2" t="s">
        <v>16</v>
      </c>
      <c r="O324" s="4" t="s">
        <v>24</v>
      </c>
      <c r="P324" s="18" t="s">
        <v>350</v>
      </c>
      <c r="Q324" s="5">
        <f t="shared" si="12"/>
        <v>4.8120000000000003</v>
      </c>
      <c r="R324" s="5">
        <f t="shared" si="13"/>
        <v>3.05</v>
      </c>
      <c r="S324" s="5">
        <f t="shared" si="13"/>
        <v>0.73499999999999999</v>
      </c>
      <c r="T324" s="23">
        <f>('Investor-Inputs'!$G$19 * Q324) + ('Investor-Inputs'!$J$19 * R324) + ('Investor-Inputs'!$N$19 * S324)</f>
        <v>21.271000000000001</v>
      </c>
      <c r="U324" s="27">
        <f t="shared" si="14"/>
        <v>574</v>
      </c>
    </row>
    <row r="325" spans="3:21" x14ac:dyDescent="0.25">
      <c r="C325" s="2" t="s">
        <v>45</v>
      </c>
      <c r="D325" s="2">
        <v>5</v>
      </c>
      <c r="E325" s="2" t="s">
        <v>14</v>
      </c>
      <c r="F325" s="2" t="s">
        <v>15</v>
      </c>
      <c r="G325" s="3">
        <v>8.24</v>
      </c>
      <c r="H325" s="3">
        <v>6.83</v>
      </c>
      <c r="I325" s="3">
        <v>20.71</v>
      </c>
      <c r="J325" s="3">
        <v>10.59</v>
      </c>
      <c r="K325" s="2"/>
      <c r="L325" s="20"/>
      <c r="M325" s="3">
        <v>0.71</v>
      </c>
      <c r="N325" s="2" t="s">
        <v>16</v>
      </c>
      <c r="O325" s="4" t="s">
        <v>28</v>
      </c>
      <c r="P325" s="18" t="s">
        <v>350</v>
      </c>
      <c r="Q325" s="5">
        <f t="shared" si="12"/>
        <v>8.2840000000000007</v>
      </c>
      <c r="R325" s="5">
        <f t="shared" si="13"/>
        <v>5.2949999999999999</v>
      </c>
      <c r="S325" s="5">
        <f t="shared" si="13"/>
        <v>0.35499999999999998</v>
      </c>
      <c r="T325" s="23">
        <f>('Investor-Inputs'!$G$19 * Q325) + ('Investor-Inputs'!$J$19 * R325) + ('Investor-Inputs'!$N$19 * S325)</f>
        <v>35.797000000000004</v>
      </c>
      <c r="U325" s="27">
        <f t="shared" si="14"/>
        <v>359</v>
      </c>
    </row>
    <row r="326" spans="3:21" x14ac:dyDescent="0.25">
      <c r="C326" s="2" t="s">
        <v>46</v>
      </c>
      <c r="D326" s="2">
        <v>4</v>
      </c>
      <c r="E326" s="2" t="s">
        <v>14</v>
      </c>
      <c r="F326" s="2" t="s">
        <v>15</v>
      </c>
      <c r="G326" s="3">
        <v>7.83</v>
      </c>
      <c r="H326" s="3">
        <v>5.0199999999999996</v>
      </c>
      <c r="I326" s="3">
        <v>17.79</v>
      </c>
      <c r="J326" s="3">
        <v>9.5500000000000007</v>
      </c>
      <c r="K326" s="3">
        <v>14.25</v>
      </c>
      <c r="L326" s="21">
        <v>12.35</v>
      </c>
      <c r="M326" s="3">
        <v>1.06</v>
      </c>
      <c r="N326" s="2" t="s">
        <v>16</v>
      </c>
      <c r="O326" s="4" t="s">
        <v>17</v>
      </c>
      <c r="P326" s="18" t="s">
        <v>350</v>
      </c>
      <c r="Q326" s="5">
        <f t="shared" si="12"/>
        <v>14.241</v>
      </c>
      <c r="R326" s="5">
        <f t="shared" si="13"/>
        <v>10.95</v>
      </c>
      <c r="S326" s="5">
        <f t="shared" si="13"/>
        <v>7.6550000000000002</v>
      </c>
      <c r="T326" s="23">
        <f>('Investor-Inputs'!$G$19 * Q326) + ('Investor-Inputs'!$J$19 * R326) + ('Investor-Inputs'!$N$19 * S326)</f>
        <v>72.277999999999992</v>
      </c>
      <c r="U326" s="27">
        <f t="shared" si="14"/>
        <v>182</v>
      </c>
    </row>
    <row r="327" spans="3:21" x14ac:dyDescent="0.25">
      <c r="C327" s="2" t="s">
        <v>47</v>
      </c>
      <c r="D327" s="2">
        <v>4</v>
      </c>
      <c r="E327" s="2" t="s">
        <v>14</v>
      </c>
      <c r="F327" s="2" t="s">
        <v>15</v>
      </c>
      <c r="G327" s="3">
        <v>2.52</v>
      </c>
      <c r="H327" s="3">
        <v>-1.62</v>
      </c>
      <c r="I327" s="3">
        <v>13.25</v>
      </c>
      <c r="J327" s="3">
        <v>6.04</v>
      </c>
      <c r="K327" s="3">
        <v>12.53</v>
      </c>
      <c r="L327" s="21">
        <v>9.59</v>
      </c>
      <c r="M327" s="3">
        <v>2.33</v>
      </c>
      <c r="N327" s="2" t="s">
        <v>16</v>
      </c>
      <c r="O327" s="4" t="s">
        <v>17</v>
      </c>
      <c r="P327" s="18" t="s">
        <v>350</v>
      </c>
      <c r="Q327" s="5">
        <f t="shared" si="12"/>
        <v>11.565000000000001</v>
      </c>
      <c r="R327" s="5">
        <f t="shared" si="13"/>
        <v>7.8149999999999995</v>
      </c>
      <c r="S327" s="5">
        <f t="shared" si="13"/>
        <v>7.43</v>
      </c>
      <c r="T327" s="23">
        <f>('Investor-Inputs'!$G$19 * Q327) + ('Investor-Inputs'!$J$19 * R327) + ('Investor-Inputs'!$N$19 * S327)</f>
        <v>57.755000000000003</v>
      </c>
      <c r="U327" s="27">
        <f t="shared" si="14"/>
        <v>244</v>
      </c>
    </row>
    <row r="328" spans="3:21" x14ac:dyDescent="0.25">
      <c r="C328" s="2" t="s">
        <v>48</v>
      </c>
      <c r="D328" s="2">
        <v>4</v>
      </c>
      <c r="E328" s="2" t="s">
        <v>14</v>
      </c>
      <c r="F328" s="2" t="s">
        <v>15</v>
      </c>
      <c r="G328" s="3">
        <v>1.28</v>
      </c>
      <c r="H328" s="3">
        <v>-4.43</v>
      </c>
      <c r="I328" s="3">
        <v>15.01</v>
      </c>
      <c r="J328" s="3">
        <v>7.07</v>
      </c>
      <c r="K328" s="2"/>
      <c r="L328" s="20"/>
      <c r="M328" s="3">
        <v>2.63</v>
      </c>
      <c r="N328" s="2" t="s">
        <v>16</v>
      </c>
      <c r="O328" s="4" t="s">
        <v>17</v>
      </c>
      <c r="P328" s="18" t="s">
        <v>350</v>
      </c>
      <c r="Q328" s="5">
        <f t="shared" ref="Q328:Q391" si="15">I328*0.4+K328*0.5</f>
        <v>6.0040000000000004</v>
      </c>
      <c r="R328" s="5">
        <f t="shared" ref="R328:S391" si="16">(L328+J328)/2</f>
        <v>3.5350000000000001</v>
      </c>
      <c r="S328" s="5">
        <f t="shared" si="16"/>
        <v>1.3149999999999999</v>
      </c>
      <c r="T328" s="23">
        <f>('Investor-Inputs'!$G$19 * Q328) + ('Investor-Inputs'!$J$19 * R328) + ('Investor-Inputs'!$N$19 * S328)</f>
        <v>26.397000000000002</v>
      </c>
      <c r="U328" s="27">
        <f t="shared" ref="U328:U391" si="17">_xlfn.RANK.EQ(T328,$T$7:$T$592,0)</f>
        <v>566</v>
      </c>
    </row>
    <row r="329" spans="3:21" x14ac:dyDescent="0.25">
      <c r="C329" s="2" t="s">
        <v>49</v>
      </c>
      <c r="D329" s="2">
        <v>5</v>
      </c>
      <c r="E329" s="2" t="s">
        <v>14</v>
      </c>
      <c r="F329" s="2" t="s">
        <v>50</v>
      </c>
      <c r="G329" s="3">
        <v>9.77</v>
      </c>
      <c r="H329" s="3">
        <v>5.76</v>
      </c>
      <c r="I329" s="3">
        <v>23.13</v>
      </c>
      <c r="J329" s="3">
        <v>13.09</v>
      </c>
      <c r="K329" s="3">
        <v>19.12</v>
      </c>
      <c r="L329" s="21">
        <v>17.22</v>
      </c>
      <c r="M329" s="3">
        <v>2.9</v>
      </c>
      <c r="N329" s="2" t="s">
        <v>16</v>
      </c>
      <c r="O329" s="4" t="s">
        <v>28</v>
      </c>
      <c r="P329" s="18" t="s">
        <v>350</v>
      </c>
      <c r="Q329" s="5">
        <f t="shared" si="15"/>
        <v>18.812000000000001</v>
      </c>
      <c r="R329" s="5">
        <f t="shared" si="16"/>
        <v>15.154999999999999</v>
      </c>
      <c r="S329" s="5">
        <f t="shared" si="16"/>
        <v>11.01</v>
      </c>
      <c r="T329" s="23">
        <f>('Investor-Inputs'!$G$19 * Q329) + ('Investor-Inputs'!$J$19 * R329) + ('Investor-Inputs'!$N$19 * S329)</f>
        <v>97.756000000000014</v>
      </c>
      <c r="U329" s="27">
        <f t="shared" si="17"/>
        <v>53</v>
      </c>
    </row>
    <row r="330" spans="3:21" x14ac:dyDescent="0.25">
      <c r="C330" s="2" t="s">
        <v>51</v>
      </c>
      <c r="D330" s="2">
        <v>4</v>
      </c>
      <c r="E330" s="2" t="s">
        <v>14</v>
      </c>
      <c r="F330" s="2" t="s">
        <v>50</v>
      </c>
      <c r="G330" s="3">
        <v>1.71</v>
      </c>
      <c r="H330" s="3">
        <v>-3</v>
      </c>
      <c r="I330" s="3">
        <v>18.399999999999999</v>
      </c>
      <c r="J330" s="3">
        <v>8.3000000000000007</v>
      </c>
      <c r="K330" s="3">
        <v>15.02</v>
      </c>
      <c r="L330" s="21">
        <v>12.74</v>
      </c>
      <c r="M330" s="3">
        <v>2.12</v>
      </c>
      <c r="N330" s="2" t="s">
        <v>16</v>
      </c>
      <c r="O330" s="4" t="s">
        <v>17</v>
      </c>
      <c r="P330" s="18" t="s">
        <v>350</v>
      </c>
      <c r="Q330" s="5">
        <f t="shared" si="15"/>
        <v>14.87</v>
      </c>
      <c r="R330" s="5">
        <f t="shared" si="16"/>
        <v>10.52</v>
      </c>
      <c r="S330" s="5">
        <f t="shared" si="16"/>
        <v>8.57</v>
      </c>
      <c r="T330" s="23">
        <f>('Investor-Inputs'!$G$19 * Q330) + ('Investor-Inputs'!$J$19 * R330) + ('Investor-Inputs'!$N$19 * S330)</f>
        <v>74.22</v>
      </c>
      <c r="U330" s="27">
        <f t="shared" si="17"/>
        <v>166</v>
      </c>
    </row>
    <row r="331" spans="3:21" x14ac:dyDescent="0.25">
      <c r="C331" s="2" t="s">
        <v>52</v>
      </c>
      <c r="D331" s="2">
        <v>4</v>
      </c>
      <c r="E331" s="2" t="s">
        <v>14</v>
      </c>
      <c r="F331" s="2" t="s">
        <v>50</v>
      </c>
      <c r="G331" s="3">
        <v>3.83</v>
      </c>
      <c r="H331" s="3">
        <v>-2.27</v>
      </c>
      <c r="I331" s="3">
        <v>17.899999999999999</v>
      </c>
      <c r="J331" s="3">
        <v>7.49</v>
      </c>
      <c r="K331" s="3">
        <v>17.559999999999999</v>
      </c>
      <c r="L331" s="21">
        <v>13.3</v>
      </c>
      <c r="M331" s="3">
        <v>1.59</v>
      </c>
      <c r="N331" s="2" t="s">
        <v>16</v>
      </c>
      <c r="O331" s="4" t="s">
        <v>17</v>
      </c>
      <c r="P331" s="18" t="s">
        <v>350</v>
      </c>
      <c r="Q331" s="5">
        <f t="shared" si="15"/>
        <v>15.94</v>
      </c>
      <c r="R331" s="5">
        <f t="shared" si="16"/>
        <v>10.395</v>
      </c>
      <c r="S331" s="5">
        <f t="shared" si="16"/>
        <v>9.5749999999999993</v>
      </c>
      <c r="T331" s="23">
        <f>('Investor-Inputs'!$G$19 * Q331) + ('Investor-Inputs'!$J$19 * R331) + ('Investor-Inputs'!$N$19 * S331)</f>
        <v>78.185000000000002</v>
      </c>
      <c r="U331" s="27">
        <f t="shared" si="17"/>
        <v>142</v>
      </c>
    </row>
    <row r="332" spans="3:21" x14ac:dyDescent="0.25">
      <c r="C332" s="2" t="s">
        <v>53</v>
      </c>
      <c r="D332" s="2">
        <v>5</v>
      </c>
      <c r="E332" s="2" t="s">
        <v>14</v>
      </c>
      <c r="F332" s="2" t="s">
        <v>50</v>
      </c>
      <c r="G332" s="3">
        <v>4.76</v>
      </c>
      <c r="H332" s="3">
        <v>-0.1</v>
      </c>
      <c r="I332" s="3">
        <v>19.510000000000002</v>
      </c>
      <c r="J332" s="3">
        <v>10.55</v>
      </c>
      <c r="K332" s="3">
        <v>19.350000000000001</v>
      </c>
      <c r="L332" s="21">
        <v>15.25</v>
      </c>
      <c r="M332" s="3">
        <v>2.3199999999999998</v>
      </c>
      <c r="N332" s="2" t="s">
        <v>16</v>
      </c>
      <c r="O332" s="4" t="s">
        <v>17</v>
      </c>
      <c r="P332" s="18" t="s">
        <v>350</v>
      </c>
      <c r="Q332" s="5">
        <f t="shared" si="15"/>
        <v>17.479000000000003</v>
      </c>
      <c r="R332" s="5">
        <f t="shared" si="16"/>
        <v>12.9</v>
      </c>
      <c r="S332" s="5">
        <f t="shared" si="16"/>
        <v>10.835000000000001</v>
      </c>
      <c r="T332" s="23">
        <f>('Investor-Inputs'!$G$19 * Q332) + ('Investor-Inputs'!$J$19 * R332) + ('Investor-Inputs'!$N$19 * S332)</f>
        <v>89.072000000000003</v>
      </c>
      <c r="U332" s="27">
        <f t="shared" si="17"/>
        <v>83</v>
      </c>
    </row>
    <row r="333" spans="3:21" x14ac:dyDescent="0.25">
      <c r="C333" s="2" t="s">
        <v>54</v>
      </c>
      <c r="D333" s="2">
        <v>4</v>
      </c>
      <c r="E333" s="2" t="s">
        <v>14</v>
      </c>
      <c r="F333" s="2" t="s">
        <v>50</v>
      </c>
      <c r="G333" s="3">
        <v>8.69</v>
      </c>
      <c r="H333" s="3">
        <v>0.98</v>
      </c>
      <c r="I333" s="3">
        <v>23.14</v>
      </c>
      <c r="J333" s="3">
        <v>13.51</v>
      </c>
      <c r="K333" s="3">
        <v>17.71</v>
      </c>
      <c r="L333" s="21">
        <v>16.59</v>
      </c>
      <c r="M333" s="3">
        <v>1.9</v>
      </c>
      <c r="N333" s="2" t="s">
        <v>16</v>
      </c>
      <c r="O333" s="4" t="s">
        <v>28</v>
      </c>
      <c r="P333" s="18" t="s">
        <v>350</v>
      </c>
      <c r="Q333" s="5">
        <f t="shared" si="15"/>
        <v>18.111000000000001</v>
      </c>
      <c r="R333" s="5">
        <f t="shared" si="16"/>
        <v>15.05</v>
      </c>
      <c r="S333" s="5">
        <f t="shared" si="16"/>
        <v>9.8049999999999997</v>
      </c>
      <c r="T333" s="23">
        <f>('Investor-Inputs'!$G$19 * Q333) + ('Investor-Inputs'!$J$19 * R333) + ('Investor-Inputs'!$N$19 * S333)</f>
        <v>94.238</v>
      </c>
      <c r="U333" s="27">
        <f t="shared" si="17"/>
        <v>61</v>
      </c>
    </row>
    <row r="334" spans="3:21" x14ac:dyDescent="0.25">
      <c r="C334" s="2" t="s">
        <v>55</v>
      </c>
      <c r="D334" s="2">
        <v>4</v>
      </c>
      <c r="E334" s="2" t="s">
        <v>14</v>
      </c>
      <c r="F334" s="2" t="s">
        <v>50</v>
      </c>
      <c r="G334" s="3">
        <v>15.63</v>
      </c>
      <c r="H334" s="3">
        <v>9.31</v>
      </c>
      <c r="I334" s="3">
        <v>25.52</v>
      </c>
      <c r="J334" s="3">
        <v>15.88</v>
      </c>
      <c r="K334" s="3">
        <v>20.97</v>
      </c>
      <c r="L334" s="21">
        <v>19.38</v>
      </c>
      <c r="M334" s="3">
        <v>1.91</v>
      </c>
      <c r="N334" s="2" t="s">
        <v>16</v>
      </c>
      <c r="O334" s="4" t="s">
        <v>28</v>
      </c>
      <c r="P334" s="18" t="s">
        <v>350</v>
      </c>
      <c r="Q334" s="5">
        <f t="shared" si="15"/>
        <v>20.692999999999998</v>
      </c>
      <c r="R334" s="5">
        <f t="shared" si="16"/>
        <v>17.63</v>
      </c>
      <c r="S334" s="5">
        <f t="shared" si="16"/>
        <v>11.44</v>
      </c>
      <c r="T334" s="23">
        <f>('Investor-Inputs'!$G$19 * Q334) + ('Investor-Inputs'!$J$19 * R334) + ('Investor-Inputs'!$N$19 * S334)</f>
        <v>108.779</v>
      </c>
      <c r="U334" s="27">
        <f t="shared" si="17"/>
        <v>35</v>
      </c>
    </row>
    <row r="335" spans="3:21" x14ac:dyDescent="0.25">
      <c r="C335" s="2" t="s">
        <v>56</v>
      </c>
      <c r="D335" s="2">
        <v>4</v>
      </c>
      <c r="E335" s="2" t="s">
        <v>14</v>
      </c>
      <c r="F335" s="2" t="s">
        <v>50</v>
      </c>
      <c r="G335" s="3">
        <v>3.77</v>
      </c>
      <c r="H335" s="3">
        <v>-0.43</v>
      </c>
      <c r="I335" s="3">
        <v>19.32</v>
      </c>
      <c r="J335" s="3">
        <v>9.7200000000000006</v>
      </c>
      <c r="K335" s="3">
        <v>16.649999999999999</v>
      </c>
      <c r="L335" s="21">
        <v>13.98</v>
      </c>
      <c r="M335" s="3">
        <v>1.8</v>
      </c>
      <c r="N335" s="2" t="s">
        <v>16</v>
      </c>
      <c r="O335" s="4" t="s">
        <v>17</v>
      </c>
      <c r="P335" s="18" t="s">
        <v>350</v>
      </c>
      <c r="Q335" s="5">
        <f t="shared" si="15"/>
        <v>16.053000000000001</v>
      </c>
      <c r="R335" s="5">
        <f t="shared" si="16"/>
        <v>11.850000000000001</v>
      </c>
      <c r="S335" s="5">
        <f t="shared" si="16"/>
        <v>9.2249999999999996</v>
      </c>
      <c r="T335" s="23">
        <f>('Investor-Inputs'!$G$19 * Q335) + ('Investor-Inputs'!$J$19 * R335) + ('Investor-Inputs'!$N$19 * S335)</f>
        <v>81.084000000000003</v>
      </c>
      <c r="U335" s="27">
        <f t="shared" si="17"/>
        <v>124</v>
      </c>
    </row>
    <row r="336" spans="3:21" x14ac:dyDescent="0.25">
      <c r="C336" s="2" t="s">
        <v>57</v>
      </c>
      <c r="D336" s="2">
        <v>4</v>
      </c>
      <c r="E336" s="2" t="s">
        <v>14</v>
      </c>
      <c r="F336" s="2" t="s">
        <v>50</v>
      </c>
      <c r="G336" s="3">
        <v>7.36</v>
      </c>
      <c r="H336" s="3">
        <v>1</v>
      </c>
      <c r="I336" s="3">
        <v>16.09</v>
      </c>
      <c r="J336" s="3">
        <v>9.1</v>
      </c>
      <c r="K336" s="3">
        <v>16.53</v>
      </c>
      <c r="L336" s="21">
        <v>12.82</v>
      </c>
      <c r="M336" s="3">
        <v>1.72</v>
      </c>
      <c r="N336" s="2" t="s">
        <v>16</v>
      </c>
      <c r="O336" s="4" t="s">
        <v>24</v>
      </c>
      <c r="P336" s="18" t="s">
        <v>350</v>
      </c>
      <c r="Q336" s="5">
        <f t="shared" si="15"/>
        <v>14.701000000000001</v>
      </c>
      <c r="R336" s="5">
        <f t="shared" si="16"/>
        <v>10.96</v>
      </c>
      <c r="S336" s="5">
        <f t="shared" si="16"/>
        <v>9.125</v>
      </c>
      <c r="T336" s="23">
        <f>('Investor-Inputs'!$G$19 * Q336) + ('Investor-Inputs'!$J$19 * R336) + ('Investor-Inputs'!$N$19 * S336)</f>
        <v>75.147999999999996</v>
      </c>
      <c r="U336" s="27">
        <f t="shared" si="17"/>
        <v>156</v>
      </c>
    </row>
    <row r="337" spans="3:21" x14ac:dyDescent="0.25">
      <c r="C337" s="2" t="s">
        <v>58</v>
      </c>
      <c r="D337" s="2">
        <v>5</v>
      </c>
      <c r="E337" s="2" t="s">
        <v>14</v>
      </c>
      <c r="F337" s="2" t="s">
        <v>50</v>
      </c>
      <c r="G337" s="3">
        <v>6.37</v>
      </c>
      <c r="H337" s="3">
        <v>2.1</v>
      </c>
      <c r="I337" s="3">
        <v>20.12</v>
      </c>
      <c r="J337" s="3">
        <v>10.84</v>
      </c>
      <c r="K337" s="3">
        <v>17.61</v>
      </c>
      <c r="L337" s="21">
        <v>15.01</v>
      </c>
      <c r="M337" s="3">
        <v>1.85</v>
      </c>
      <c r="N337" s="2" t="s">
        <v>16</v>
      </c>
      <c r="O337" s="4" t="s">
        <v>17</v>
      </c>
      <c r="P337" s="18" t="s">
        <v>350</v>
      </c>
      <c r="Q337" s="5">
        <f t="shared" si="15"/>
        <v>16.853000000000002</v>
      </c>
      <c r="R337" s="5">
        <f t="shared" si="16"/>
        <v>12.925000000000001</v>
      </c>
      <c r="S337" s="5">
        <f t="shared" si="16"/>
        <v>9.73</v>
      </c>
      <c r="T337" s="23">
        <f>('Investor-Inputs'!$G$19 * Q337) + ('Investor-Inputs'!$J$19 * R337) + ('Investor-Inputs'!$N$19 * S337)</f>
        <v>86.13900000000001</v>
      </c>
      <c r="U337" s="27">
        <f t="shared" si="17"/>
        <v>106</v>
      </c>
    </row>
    <row r="338" spans="3:21" x14ac:dyDescent="0.25">
      <c r="C338" s="2" t="s">
        <v>59</v>
      </c>
      <c r="D338" s="2">
        <v>4</v>
      </c>
      <c r="E338" s="2" t="s">
        <v>14</v>
      </c>
      <c r="F338" s="2" t="s">
        <v>60</v>
      </c>
      <c r="G338" s="3">
        <v>6.66</v>
      </c>
      <c r="H338" s="3">
        <v>2.86</v>
      </c>
      <c r="I338" s="3">
        <v>17.36</v>
      </c>
      <c r="J338" s="3">
        <v>10.210000000000001</v>
      </c>
      <c r="K338" s="3">
        <v>13.7</v>
      </c>
      <c r="L338" s="21">
        <v>12.34</v>
      </c>
      <c r="M338" s="3">
        <v>1.6</v>
      </c>
      <c r="N338" s="2" t="s">
        <v>16</v>
      </c>
      <c r="O338" s="4" t="s">
        <v>17</v>
      </c>
      <c r="P338" s="18" t="s">
        <v>350</v>
      </c>
      <c r="Q338" s="5">
        <f t="shared" si="15"/>
        <v>13.794</v>
      </c>
      <c r="R338" s="5">
        <f t="shared" si="16"/>
        <v>11.275</v>
      </c>
      <c r="S338" s="5">
        <f t="shared" si="16"/>
        <v>7.6499999999999995</v>
      </c>
      <c r="T338" s="23">
        <f>('Investor-Inputs'!$G$19 * Q338) + ('Investor-Inputs'!$J$19 * R338) + ('Investor-Inputs'!$N$19 * S338)</f>
        <v>71.582000000000008</v>
      </c>
      <c r="U338" s="27">
        <f t="shared" si="17"/>
        <v>186</v>
      </c>
    </row>
    <row r="339" spans="3:21" x14ac:dyDescent="0.25">
      <c r="C339" s="2" t="s">
        <v>61</v>
      </c>
      <c r="D339" s="2">
        <v>4</v>
      </c>
      <c r="E339" s="2" t="s">
        <v>14</v>
      </c>
      <c r="F339" s="2" t="s">
        <v>60</v>
      </c>
      <c r="G339" s="3">
        <v>14.82</v>
      </c>
      <c r="H339" s="3">
        <v>11.25</v>
      </c>
      <c r="I339" s="3">
        <v>21.8</v>
      </c>
      <c r="J339" s="3">
        <v>12.44</v>
      </c>
      <c r="K339" s="3">
        <v>18.510000000000002</v>
      </c>
      <c r="L339" s="21">
        <v>16.03</v>
      </c>
      <c r="M339" s="3">
        <v>2.96</v>
      </c>
      <c r="N339" s="2" t="s">
        <v>16</v>
      </c>
      <c r="O339" s="4" t="s">
        <v>28</v>
      </c>
      <c r="P339" s="18" t="s">
        <v>350</v>
      </c>
      <c r="Q339" s="5">
        <f t="shared" si="15"/>
        <v>17.975000000000001</v>
      </c>
      <c r="R339" s="5">
        <f t="shared" si="16"/>
        <v>14.234999999999999</v>
      </c>
      <c r="S339" s="5">
        <f t="shared" si="16"/>
        <v>10.735000000000001</v>
      </c>
      <c r="T339" s="23">
        <f>('Investor-Inputs'!$G$19 * Q339) + ('Investor-Inputs'!$J$19 * R339) + ('Investor-Inputs'!$N$19 * S339)</f>
        <v>93.13000000000001</v>
      </c>
      <c r="U339" s="27">
        <f t="shared" si="17"/>
        <v>71</v>
      </c>
    </row>
    <row r="340" spans="3:21" x14ac:dyDescent="0.25">
      <c r="C340" s="2" t="s">
        <v>62</v>
      </c>
      <c r="D340" s="2">
        <v>4</v>
      </c>
      <c r="E340" s="2" t="s">
        <v>14</v>
      </c>
      <c r="F340" s="2" t="s">
        <v>60</v>
      </c>
      <c r="G340" s="3">
        <v>1.98</v>
      </c>
      <c r="H340" s="3">
        <v>-6.64</v>
      </c>
      <c r="I340" s="3">
        <v>14.93</v>
      </c>
      <c r="J340" s="3">
        <v>6.59</v>
      </c>
      <c r="K340" s="2"/>
      <c r="L340" s="20"/>
      <c r="M340" s="3">
        <v>2.09</v>
      </c>
      <c r="N340" s="2" t="s">
        <v>16</v>
      </c>
      <c r="O340" s="4" t="s">
        <v>24</v>
      </c>
      <c r="P340" s="18" t="s">
        <v>350</v>
      </c>
      <c r="Q340" s="5">
        <f t="shared" si="15"/>
        <v>5.9720000000000004</v>
      </c>
      <c r="R340" s="5">
        <f t="shared" si="16"/>
        <v>3.2949999999999999</v>
      </c>
      <c r="S340" s="5">
        <f t="shared" si="16"/>
        <v>1.0449999999999999</v>
      </c>
      <c r="T340" s="23">
        <f>('Investor-Inputs'!$G$19 * Q340) + ('Investor-Inputs'!$J$19 * R340) + ('Investor-Inputs'!$N$19 * S340)</f>
        <v>25.551000000000002</v>
      </c>
      <c r="U340" s="27">
        <f t="shared" si="17"/>
        <v>568</v>
      </c>
    </row>
    <row r="341" spans="3:21" x14ac:dyDescent="0.25">
      <c r="C341" s="2" t="s">
        <v>63</v>
      </c>
      <c r="D341" s="2">
        <v>4</v>
      </c>
      <c r="E341" s="2" t="s">
        <v>14</v>
      </c>
      <c r="F341" s="2" t="s">
        <v>60</v>
      </c>
      <c r="G341" s="3">
        <v>4.7300000000000004</v>
      </c>
      <c r="H341" s="3">
        <v>-0.41</v>
      </c>
      <c r="I341" s="3">
        <v>17.16</v>
      </c>
      <c r="J341" s="3">
        <v>8.5500000000000007</v>
      </c>
      <c r="K341" s="3">
        <v>15.17</v>
      </c>
      <c r="L341" s="21">
        <v>12.36</v>
      </c>
      <c r="M341" s="3">
        <v>1.92</v>
      </c>
      <c r="N341" s="2" t="s">
        <v>16</v>
      </c>
      <c r="O341" s="4" t="s">
        <v>17</v>
      </c>
      <c r="P341" s="18" t="s">
        <v>350</v>
      </c>
      <c r="Q341" s="5">
        <f t="shared" si="15"/>
        <v>14.449000000000002</v>
      </c>
      <c r="R341" s="5">
        <f t="shared" si="16"/>
        <v>10.455</v>
      </c>
      <c r="S341" s="5">
        <f t="shared" si="16"/>
        <v>8.5449999999999999</v>
      </c>
      <c r="T341" s="23">
        <f>('Investor-Inputs'!$G$19 * Q341) + ('Investor-Inputs'!$J$19 * R341) + ('Investor-Inputs'!$N$19 * S341)</f>
        <v>72.802000000000007</v>
      </c>
      <c r="U341" s="27">
        <f t="shared" si="17"/>
        <v>178</v>
      </c>
    </row>
    <row r="342" spans="3:21" x14ac:dyDescent="0.25">
      <c r="C342" s="2" t="s">
        <v>64</v>
      </c>
      <c r="D342" s="2">
        <v>4</v>
      </c>
      <c r="E342" s="2" t="s">
        <v>14</v>
      </c>
      <c r="F342" s="2" t="s">
        <v>60</v>
      </c>
      <c r="G342" s="3">
        <v>2.37</v>
      </c>
      <c r="H342" s="3">
        <v>-2.2400000000000002</v>
      </c>
      <c r="I342" s="3">
        <v>15.37</v>
      </c>
      <c r="J342" s="3">
        <v>6.9</v>
      </c>
      <c r="K342" s="2"/>
      <c r="L342" s="20"/>
      <c r="M342" s="3">
        <v>2.23</v>
      </c>
      <c r="N342" s="2" t="s">
        <v>16</v>
      </c>
      <c r="O342" s="4" t="s">
        <v>17</v>
      </c>
      <c r="P342" s="18" t="s">
        <v>350</v>
      </c>
      <c r="Q342" s="5">
        <f t="shared" si="15"/>
        <v>6.1479999999999997</v>
      </c>
      <c r="R342" s="5">
        <f t="shared" si="16"/>
        <v>3.45</v>
      </c>
      <c r="S342" s="5">
        <f t="shared" si="16"/>
        <v>1.115</v>
      </c>
      <c r="T342" s="23">
        <f>('Investor-Inputs'!$G$19 * Q342) + ('Investor-Inputs'!$J$19 * R342) + ('Investor-Inputs'!$N$19 * S342)</f>
        <v>26.459</v>
      </c>
      <c r="U342" s="27">
        <f t="shared" si="17"/>
        <v>564</v>
      </c>
    </row>
    <row r="343" spans="3:21" x14ac:dyDescent="0.25">
      <c r="C343" s="2" t="s">
        <v>65</v>
      </c>
      <c r="D343" s="2">
        <v>4</v>
      </c>
      <c r="E343" s="2" t="s">
        <v>14</v>
      </c>
      <c r="F343" s="2" t="s">
        <v>60</v>
      </c>
      <c r="G343" s="3">
        <v>-1.39</v>
      </c>
      <c r="H343" s="3">
        <v>-6.27</v>
      </c>
      <c r="I343" s="3">
        <v>16</v>
      </c>
      <c r="J343" s="3">
        <v>5.83</v>
      </c>
      <c r="K343" s="3">
        <v>15.39</v>
      </c>
      <c r="L343" s="21">
        <v>11.21</v>
      </c>
      <c r="M343" s="3">
        <v>1.71</v>
      </c>
      <c r="N343" s="2" t="s">
        <v>16</v>
      </c>
      <c r="O343" s="4" t="s">
        <v>17</v>
      </c>
      <c r="P343" s="18" t="s">
        <v>350</v>
      </c>
      <c r="Q343" s="5">
        <f t="shared" si="15"/>
        <v>14.095000000000001</v>
      </c>
      <c r="R343" s="5">
        <f t="shared" si="16"/>
        <v>8.52</v>
      </c>
      <c r="S343" s="5">
        <f t="shared" si="16"/>
        <v>8.5500000000000007</v>
      </c>
      <c r="T343" s="23">
        <f>('Investor-Inputs'!$G$19 * Q343) + ('Investor-Inputs'!$J$19 * R343) + ('Investor-Inputs'!$N$19 * S343)</f>
        <v>67.875</v>
      </c>
      <c r="U343" s="27">
        <f t="shared" si="17"/>
        <v>198</v>
      </c>
    </row>
    <row r="344" spans="3:21" x14ac:dyDescent="0.25">
      <c r="C344" s="2" t="s">
        <v>66</v>
      </c>
      <c r="D344" s="2">
        <v>4</v>
      </c>
      <c r="E344" s="2" t="s">
        <v>14</v>
      </c>
      <c r="F344" s="2" t="s">
        <v>60</v>
      </c>
      <c r="G344" s="3">
        <v>-2.84</v>
      </c>
      <c r="H344" s="3">
        <v>-9.8699999999999992</v>
      </c>
      <c r="I344" s="3">
        <v>13.16</v>
      </c>
      <c r="J344" s="3">
        <v>3.34</v>
      </c>
      <c r="K344" s="3">
        <v>13.83</v>
      </c>
      <c r="L344" s="21">
        <v>8.99</v>
      </c>
      <c r="M344" s="3">
        <v>1.88</v>
      </c>
      <c r="N344" s="2" t="s">
        <v>16</v>
      </c>
      <c r="O344" s="4" t="s">
        <v>24</v>
      </c>
      <c r="P344" s="18" t="s">
        <v>350</v>
      </c>
      <c r="Q344" s="5">
        <f t="shared" si="15"/>
        <v>12.179</v>
      </c>
      <c r="R344" s="5">
        <f t="shared" si="16"/>
        <v>6.165</v>
      </c>
      <c r="S344" s="5">
        <f t="shared" si="16"/>
        <v>7.8550000000000004</v>
      </c>
      <c r="T344" s="23">
        <f>('Investor-Inputs'!$G$19 * Q344) + ('Investor-Inputs'!$J$19 * R344) + ('Investor-Inputs'!$N$19 * S344)</f>
        <v>56.721999999999994</v>
      </c>
      <c r="U344" s="27">
        <f t="shared" si="17"/>
        <v>250</v>
      </c>
    </row>
    <row r="345" spans="3:21" x14ac:dyDescent="0.25">
      <c r="C345" s="2" t="s">
        <v>67</v>
      </c>
      <c r="D345" s="2">
        <v>5</v>
      </c>
      <c r="E345" s="2" t="s">
        <v>14</v>
      </c>
      <c r="F345" s="2" t="s">
        <v>60</v>
      </c>
      <c r="G345" s="3">
        <v>1.23</v>
      </c>
      <c r="H345" s="3">
        <v>-4.6399999999999997</v>
      </c>
      <c r="I345" s="3">
        <v>18.760000000000002</v>
      </c>
      <c r="J345" s="3">
        <v>9.6199999999999992</v>
      </c>
      <c r="K345" s="3">
        <v>19.54</v>
      </c>
      <c r="L345" s="21">
        <v>15.3</v>
      </c>
      <c r="M345" s="3">
        <v>1.27</v>
      </c>
      <c r="N345" s="2" t="s">
        <v>16</v>
      </c>
      <c r="O345" s="4" t="s">
        <v>28</v>
      </c>
      <c r="P345" s="18" t="s">
        <v>350</v>
      </c>
      <c r="Q345" s="5">
        <f t="shared" si="15"/>
        <v>17.274000000000001</v>
      </c>
      <c r="R345" s="5">
        <f t="shared" si="16"/>
        <v>12.46</v>
      </c>
      <c r="S345" s="5">
        <f t="shared" si="16"/>
        <v>10.404999999999999</v>
      </c>
      <c r="T345" s="23">
        <f>('Investor-Inputs'!$G$19 * Q345) + ('Investor-Inputs'!$J$19 * R345) + ('Investor-Inputs'!$N$19 * S345)</f>
        <v>87.147000000000006</v>
      </c>
      <c r="U345" s="27">
        <f t="shared" si="17"/>
        <v>93</v>
      </c>
    </row>
    <row r="346" spans="3:21" x14ac:dyDescent="0.25">
      <c r="C346" s="2" t="s">
        <v>68</v>
      </c>
      <c r="D346" s="2">
        <v>5</v>
      </c>
      <c r="E346" s="2" t="s">
        <v>14</v>
      </c>
      <c r="F346" s="2" t="s">
        <v>60</v>
      </c>
      <c r="G346" s="3">
        <v>0.44</v>
      </c>
      <c r="H346" s="3">
        <v>-6.25</v>
      </c>
      <c r="I346" s="3">
        <v>17.86</v>
      </c>
      <c r="J346" s="3">
        <v>8.8800000000000008</v>
      </c>
      <c r="K346" s="3">
        <v>20.23</v>
      </c>
      <c r="L346" s="21">
        <v>15.12</v>
      </c>
      <c r="M346" s="3">
        <v>1.6</v>
      </c>
      <c r="N346" s="2" t="s">
        <v>16</v>
      </c>
      <c r="O346" s="4" t="s">
        <v>28</v>
      </c>
      <c r="P346" s="18" t="s">
        <v>350</v>
      </c>
      <c r="Q346" s="5">
        <f t="shared" si="15"/>
        <v>17.259</v>
      </c>
      <c r="R346" s="5">
        <f t="shared" si="16"/>
        <v>12</v>
      </c>
      <c r="S346" s="5">
        <f t="shared" si="16"/>
        <v>10.915000000000001</v>
      </c>
      <c r="T346" s="23">
        <f>('Investor-Inputs'!$G$19 * Q346) + ('Investor-Inputs'!$J$19 * R346) + ('Investor-Inputs'!$N$19 * S346)</f>
        <v>86.692000000000007</v>
      </c>
      <c r="U346" s="27">
        <f t="shared" si="17"/>
        <v>96</v>
      </c>
    </row>
    <row r="347" spans="3:21" x14ac:dyDescent="0.25">
      <c r="C347" s="2" t="s">
        <v>69</v>
      </c>
      <c r="D347" s="2">
        <v>4</v>
      </c>
      <c r="E347" s="2" t="s">
        <v>14</v>
      </c>
      <c r="F347" s="2" t="s">
        <v>60</v>
      </c>
      <c r="G347" s="3">
        <v>-1.51</v>
      </c>
      <c r="H347" s="3">
        <v>-7.69</v>
      </c>
      <c r="I347" s="3">
        <v>13.6</v>
      </c>
      <c r="J347" s="3">
        <v>4.2300000000000004</v>
      </c>
      <c r="K347" s="3">
        <v>15.97</v>
      </c>
      <c r="L347" s="21">
        <v>10.71</v>
      </c>
      <c r="M347" s="3">
        <v>1.83</v>
      </c>
      <c r="N347" s="2" t="s">
        <v>16</v>
      </c>
      <c r="O347" s="4" t="s">
        <v>24</v>
      </c>
      <c r="P347" s="18" t="s">
        <v>350</v>
      </c>
      <c r="Q347" s="5">
        <f t="shared" si="15"/>
        <v>13.425000000000001</v>
      </c>
      <c r="R347" s="5">
        <f t="shared" si="16"/>
        <v>7.4700000000000006</v>
      </c>
      <c r="S347" s="5">
        <f t="shared" si="16"/>
        <v>8.9</v>
      </c>
      <c r="T347" s="23">
        <f>('Investor-Inputs'!$G$19 * Q347) + ('Investor-Inputs'!$J$19 * R347) + ('Investor-Inputs'!$N$19 * S347)</f>
        <v>64.115000000000009</v>
      </c>
      <c r="U347" s="27">
        <f t="shared" si="17"/>
        <v>214</v>
      </c>
    </row>
    <row r="348" spans="3:21" x14ac:dyDescent="0.25">
      <c r="C348" s="2" t="s">
        <v>70</v>
      </c>
      <c r="D348" s="2">
        <v>4</v>
      </c>
      <c r="E348" s="2" t="s">
        <v>14</v>
      </c>
      <c r="F348" s="2" t="s">
        <v>60</v>
      </c>
      <c r="G348" s="3">
        <v>8.0500000000000007</v>
      </c>
      <c r="H348" s="3">
        <v>3.56</v>
      </c>
      <c r="I348" s="3">
        <v>18.27</v>
      </c>
      <c r="J348" s="3">
        <v>9.9700000000000006</v>
      </c>
      <c r="K348" s="3">
        <v>15.49</v>
      </c>
      <c r="L348" s="21">
        <v>13.23</v>
      </c>
      <c r="M348" s="3">
        <v>2.2999999999999998</v>
      </c>
      <c r="N348" s="2" t="s">
        <v>16</v>
      </c>
      <c r="O348" s="4" t="s">
        <v>17</v>
      </c>
      <c r="P348" s="18" t="s">
        <v>350</v>
      </c>
      <c r="Q348" s="5">
        <f t="shared" si="15"/>
        <v>15.053000000000001</v>
      </c>
      <c r="R348" s="5">
        <f t="shared" si="16"/>
        <v>11.600000000000001</v>
      </c>
      <c r="S348" s="5">
        <f t="shared" si="16"/>
        <v>8.8949999999999996</v>
      </c>
      <c r="T348" s="23">
        <f>('Investor-Inputs'!$G$19 * Q348) + ('Investor-Inputs'!$J$19 * R348) + ('Investor-Inputs'!$N$19 * S348)</f>
        <v>77.254000000000005</v>
      </c>
      <c r="U348" s="27">
        <f t="shared" si="17"/>
        <v>148</v>
      </c>
    </row>
    <row r="349" spans="3:21" x14ac:dyDescent="0.25">
      <c r="C349" s="2" t="s">
        <v>71</v>
      </c>
      <c r="D349" s="2">
        <v>5</v>
      </c>
      <c r="E349" s="2" t="s">
        <v>14</v>
      </c>
      <c r="F349" s="2" t="s">
        <v>60</v>
      </c>
      <c r="G349" s="3">
        <v>2.85</v>
      </c>
      <c r="H349" s="3">
        <v>-0.6</v>
      </c>
      <c r="I349" s="3">
        <v>18.97</v>
      </c>
      <c r="J349" s="3">
        <v>9.6999999999999993</v>
      </c>
      <c r="K349" s="3">
        <v>17.79</v>
      </c>
      <c r="L349" s="21">
        <v>14.33</v>
      </c>
      <c r="M349" s="3">
        <v>0.98</v>
      </c>
      <c r="N349" s="2" t="s">
        <v>16</v>
      </c>
      <c r="O349" s="4" t="s">
        <v>28</v>
      </c>
      <c r="P349" s="18" t="s">
        <v>350</v>
      </c>
      <c r="Q349" s="5">
        <f t="shared" si="15"/>
        <v>16.483000000000001</v>
      </c>
      <c r="R349" s="5">
        <f t="shared" si="16"/>
        <v>12.015000000000001</v>
      </c>
      <c r="S349" s="5">
        <f t="shared" si="16"/>
        <v>9.3849999999999998</v>
      </c>
      <c r="T349" s="23">
        <f>('Investor-Inputs'!$G$19 * Q349) + ('Investor-Inputs'!$J$19 * R349) + ('Investor-Inputs'!$N$19 * S349)</f>
        <v>82.864000000000004</v>
      </c>
      <c r="U349" s="27">
        <f t="shared" si="17"/>
        <v>118</v>
      </c>
    </row>
    <row r="350" spans="3:21" x14ac:dyDescent="0.25">
      <c r="C350" s="2" t="s">
        <v>72</v>
      </c>
      <c r="D350" s="2">
        <v>4</v>
      </c>
      <c r="E350" s="2" t="s">
        <v>14</v>
      </c>
      <c r="F350" s="2" t="s">
        <v>60</v>
      </c>
      <c r="G350" s="3">
        <v>7.85</v>
      </c>
      <c r="H350" s="3">
        <v>0.06</v>
      </c>
      <c r="I350" s="3">
        <v>17.489999999999998</v>
      </c>
      <c r="J350" s="3">
        <v>9.1</v>
      </c>
      <c r="K350" s="2"/>
      <c r="L350" s="20"/>
      <c r="M350" s="3">
        <v>1.77</v>
      </c>
      <c r="N350" s="2" t="s">
        <v>16</v>
      </c>
      <c r="O350" s="4" t="s">
        <v>17</v>
      </c>
      <c r="P350" s="18" t="s">
        <v>350</v>
      </c>
      <c r="Q350" s="5">
        <f t="shared" si="15"/>
        <v>6.9959999999999996</v>
      </c>
      <c r="R350" s="5">
        <f t="shared" si="16"/>
        <v>4.55</v>
      </c>
      <c r="S350" s="5">
        <f t="shared" si="16"/>
        <v>0.88500000000000001</v>
      </c>
      <c r="T350" s="23">
        <f>('Investor-Inputs'!$G$19 * Q350) + ('Investor-Inputs'!$J$19 * R350) + ('Investor-Inputs'!$N$19 * S350)</f>
        <v>30.973000000000003</v>
      </c>
      <c r="U350" s="27">
        <f t="shared" si="17"/>
        <v>510</v>
      </c>
    </row>
    <row r="351" spans="3:21" x14ac:dyDescent="0.25">
      <c r="C351" s="2" t="s">
        <v>73</v>
      </c>
      <c r="D351" s="2">
        <v>5</v>
      </c>
      <c r="E351" s="2" t="s">
        <v>14</v>
      </c>
      <c r="F351" s="2" t="s">
        <v>60</v>
      </c>
      <c r="G351" s="3">
        <v>3.28</v>
      </c>
      <c r="H351" s="3">
        <v>-3.63</v>
      </c>
      <c r="I351" s="3">
        <v>19.91</v>
      </c>
      <c r="J351" s="3">
        <v>10.72</v>
      </c>
      <c r="K351" s="3">
        <v>17.899999999999999</v>
      </c>
      <c r="L351" s="21">
        <v>14.94</v>
      </c>
      <c r="M351" s="3">
        <v>2.37</v>
      </c>
      <c r="N351" s="2" t="s">
        <v>16</v>
      </c>
      <c r="O351" s="4" t="s">
        <v>28</v>
      </c>
      <c r="P351" s="18" t="s">
        <v>350</v>
      </c>
      <c r="Q351" s="5">
        <f t="shared" si="15"/>
        <v>16.914000000000001</v>
      </c>
      <c r="R351" s="5">
        <f t="shared" si="16"/>
        <v>12.83</v>
      </c>
      <c r="S351" s="5">
        <f t="shared" si="16"/>
        <v>10.135</v>
      </c>
      <c r="T351" s="23">
        <f>('Investor-Inputs'!$G$19 * Q351) + ('Investor-Inputs'!$J$19 * R351) + ('Investor-Inputs'!$N$19 * S351)</f>
        <v>86.537000000000006</v>
      </c>
      <c r="U351" s="27">
        <f t="shared" si="17"/>
        <v>100</v>
      </c>
    </row>
    <row r="352" spans="3:21" x14ac:dyDescent="0.25">
      <c r="C352" s="2" t="s">
        <v>74</v>
      </c>
      <c r="D352" s="2">
        <v>5</v>
      </c>
      <c r="E352" s="2" t="s">
        <v>14</v>
      </c>
      <c r="F352" s="2" t="s">
        <v>60</v>
      </c>
      <c r="G352" s="3">
        <v>16.829999999999998</v>
      </c>
      <c r="H352" s="3">
        <v>10.82</v>
      </c>
      <c r="I352" s="3">
        <v>24.99</v>
      </c>
      <c r="J352" s="3">
        <v>16.190000000000001</v>
      </c>
      <c r="K352" s="3">
        <v>22.43</v>
      </c>
      <c r="L352" s="21">
        <v>19.21</v>
      </c>
      <c r="M352" s="3">
        <v>2.09</v>
      </c>
      <c r="N352" s="2" t="s">
        <v>16</v>
      </c>
      <c r="O352" s="4" t="s">
        <v>28</v>
      </c>
      <c r="P352" s="18" t="s">
        <v>350</v>
      </c>
      <c r="Q352" s="5">
        <f t="shared" si="15"/>
        <v>21.210999999999999</v>
      </c>
      <c r="R352" s="5">
        <f t="shared" si="16"/>
        <v>17.700000000000003</v>
      </c>
      <c r="S352" s="5">
        <f t="shared" si="16"/>
        <v>12.26</v>
      </c>
      <c r="T352" s="23">
        <f>('Investor-Inputs'!$G$19 * Q352) + ('Investor-Inputs'!$J$19 * R352) + ('Investor-Inputs'!$N$19 * S352)</f>
        <v>111.29300000000001</v>
      </c>
      <c r="U352" s="27">
        <f t="shared" si="17"/>
        <v>27</v>
      </c>
    </row>
    <row r="353" spans="3:21" x14ac:dyDescent="0.25">
      <c r="C353" s="2" t="s">
        <v>75</v>
      </c>
      <c r="D353" s="2">
        <v>4</v>
      </c>
      <c r="E353" s="2" t="s">
        <v>14</v>
      </c>
      <c r="F353" s="2" t="s">
        <v>60</v>
      </c>
      <c r="G353" s="3">
        <v>1.78</v>
      </c>
      <c r="H353" s="3">
        <v>-6.19</v>
      </c>
      <c r="I353" s="3">
        <v>18.68</v>
      </c>
      <c r="J353" s="3">
        <v>7.97</v>
      </c>
      <c r="K353" s="2"/>
      <c r="L353" s="20"/>
      <c r="M353" s="3">
        <v>1.86</v>
      </c>
      <c r="N353" s="2" t="s">
        <v>16</v>
      </c>
      <c r="O353" s="4" t="s">
        <v>28</v>
      </c>
      <c r="P353" s="18" t="s">
        <v>350</v>
      </c>
      <c r="Q353" s="5">
        <f t="shared" si="15"/>
        <v>7.4720000000000004</v>
      </c>
      <c r="R353" s="5">
        <f t="shared" si="16"/>
        <v>3.9849999999999999</v>
      </c>
      <c r="S353" s="5">
        <f t="shared" si="16"/>
        <v>0.93</v>
      </c>
      <c r="T353" s="23">
        <f>('Investor-Inputs'!$G$19 * Q353) + ('Investor-Inputs'!$J$19 * R353) + ('Investor-Inputs'!$N$19 * S353)</f>
        <v>31.315999999999999</v>
      </c>
      <c r="U353" s="27">
        <f t="shared" si="17"/>
        <v>508</v>
      </c>
    </row>
    <row r="354" spans="3:21" x14ac:dyDescent="0.25">
      <c r="C354" s="2" t="s">
        <v>76</v>
      </c>
      <c r="D354" s="2">
        <v>4</v>
      </c>
      <c r="E354" s="2" t="s">
        <v>14</v>
      </c>
      <c r="F354" s="2" t="s">
        <v>60</v>
      </c>
      <c r="G354" s="3">
        <v>-2.85</v>
      </c>
      <c r="H354" s="3">
        <v>-7.26</v>
      </c>
      <c r="I354" s="3">
        <v>21.28</v>
      </c>
      <c r="J354" s="3">
        <v>8.11</v>
      </c>
      <c r="K354" s="3">
        <v>15.82</v>
      </c>
      <c r="L354" s="21">
        <v>12.98</v>
      </c>
      <c r="M354" s="3">
        <v>1.89</v>
      </c>
      <c r="N354" s="2" t="s">
        <v>16</v>
      </c>
      <c r="O354" s="4" t="s">
        <v>17</v>
      </c>
      <c r="P354" s="18" t="s">
        <v>350</v>
      </c>
      <c r="Q354" s="5">
        <f t="shared" si="15"/>
        <v>16.422000000000001</v>
      </c>
      <c r="R354" s="5">
        <f t="shared" si="16"/>
        <v>10.545</v>
      </c>
      <c r="S354" s="5">
        <f t="shared" si="16"/>
        <v>8.8550000000000004</v>
      </c>
      <c r="T354" s="23">
        <f>('Investor-Inputs'!$G$19 * Q354) + ('Investor-Inputs'!$J$19 * R354) + ('Investor-Inputs'!$N$19 * S354)</f>
        <v>79.211000000000013</v>
      </c>
      <c r="U354" s="27">
        <f t="shared" si="17"/>
        <v>136</v>
      </c>
    </row>
    <row r="355" spans="3:21" x14ac:dyDescent="0.25">
      <c r="C355" s="2" t="s">
        <v>77</v>
      </c>
      <c r="D355" s="2">
        <v>4</v>
      </c>
      <c r="E355" s="2" t="s">
        <v>14</v>
      </c>
      <c r="F355" s="2" t="s">
        <v>60</v>
      </c>
      <c r="G355" s="3">
        <v>9.9700000000000006</v>
      </c>
      <c r="H355" s="3">
        <v>4.3899999999999997</v>
      </c>
      <c r="I355" s="3">
        <v>19.84</v>
      </c>
      <c r="J355" s="3">
        <v>10.02</v>
      </c>
      <c r="K355" s="2"/>
      <c r="L355" s="20"/>
      <c r="M355" s="3">
        <v>2.52</v>
      </c>
      <c r="N355" s="2" t="s">
        <v>16</v>
      </c>
      <c r="O355" s="4" t="s">
        <v>28</v>
      </c>
      <c r="P355" s="18" t="s">
        <v>350</v>
      </c>
      <c r="Q355" s="5">
        <f t="shared" si="15"/>
        <v>7.9359999999999999</v>
      </c>
      <c r="R355" s="5">
        <f t="shared" si="16"/>
        <v>5.01</v>
      </c>
      <c r="S355" s="5">
        <f t="shared" si="16"/>
        <v>1.26</v>
      </c>
      <c r="T355" s="23">
        <f>('Investor-Inputs'!$G$19 * Q355) + ('Investor-Inputs'!$J$19 * R355) + ('Investor-Inputs'!$N$19 * S355)</f>
        <v>35.088000000000001</v>
      </c>
      <c r="U355" s="27">
        <f t="shared" si="17"/>
        <v>391</v>
      </c>
    </row>
    <row r="356" spans="3:21" x14ac:dyDescent="0.25">
      <c r="C356" s="2" t="s">
        <v>78</v>
      </c>
      <c r="D356" s="2">
        <v>4</v>
      </c>
      <c r="E356" s="2" t="s">
        <v>14</v>
      </c>
      <c r="F356" s="2" t="s">
        <v>60</v>
      </c>
      <c r="G356" s="3">
        <v>-1.05</v>
      </c>
      <c r="H356" s="3">
        <v>-4.0199999999999996</v>
      </c>
      <c r="I356" s="3">
        <v>18.45</v>
      </c>
      <c r="J356" s="3">
        <v>5.13</v>
      </c>
      <c r="K356" s="3">
        <v>17.329999999999998</v>
      </c>
      <c r="L356" s="21">
        <v>12.93</v>
      </c>
      <c r="M356" s="3">
        <v>2.58</v>
      </c>
      <c r="N356" s="2" t="s">
        <v>16</v>
      </c>
      <c r="O356" s="4" t="s">
        <v>17</v>
      </c>
      <c r="P356" s="18" t="s">
        <v>350</v>
      </c>
      <c r="Q356" s="5">
        <f t="shared" si="15"/>
        <v>16.044999999999998</v>
      </c>
      <c r="R356" s="5">
        <f t="shared" si="16"/>
        <v>9.0299999999999994</v>
      </c>
      <c r="S356" s="5">
        <f t="shared" si="16"/>
        <v>9.9549999999999983</v>
      </c>
      <c r="T356" s="23">
        <f>('Investor-Inputs'!$G$19 * Q356) + ('Investor-Inputs'!$J$19 * R356) + ('Investor-Inputs'!$N$19 * S356)</f>
        <v>76.149999999999991</v>
      </c>
      <c r="U356" s="27">
        <f t="shared" si="17"/>
        <v>152</v>
      </c>
    </row>
    <row r="357" spans="3:21" x14ac:dyDescent="0.25">
      <c r="C357" s="2" t="s">
        <v>79</v>
      </c>
      <c r="D357" s="2">
        <v>4</v>
      </c>
      <c r="E357" s="2" t="s">
        <v>14</v>
      </c>
      <c r="F357" s="2" t="s">
        <v>60</v>
      </c>
      <c r="G357" s="3">
        <v>10</v>
      </c>
      <c r="H357" s="3">
        <v>2.92</v>
      </c>
      <c r="I357" s="3">
        <v>16.21</v>
      </c>
      <c r="J357" s="3">
        <v>9.9700000000000006</v>
      </c>
      <c r="K357" s="3">
        <v>14.22</v>
      </c>
      <c r="L357" s="21">
        <v>11.98</v>
      </c>
      <c r="M357" s="3">
        <v>2.29</v>
      </c>
      <c r="N357" s="2" t="s">
        <v>16</v>
      </c>
      <c r="O357" s="4" t="s">
        <v>24</v>
      </c>
      <c r="P357" s="18" t="s">
        <v>350</v>
      </c>
      <c r="Q357" s="5">
        <f t="shared" si="15"/>
        <v>13.594000000000001</v>
      </c>
      <c r="R357" s="5">
        <f t="shared" si="16"/>
        <v>10.975000000000001</v>
      </c>
      <c r="S357" s="5">
        <f t="shared" si="16"/>
        <v>8.2550000000000008</v>
      </c>
      <c r="T357" s="23">
        <f>('Investor-Inputs'!$G$19 * Q357) + ('Investor-Inputs'!$J$19 * R357) + ('Investor-Inputs'!$N$19 * S357)</f>
        <v>70.987000000000009</v>
      </c>
      <c r="U357" s="27">
        <f t="shared" si="17"/>
        <v>188</v>
      </c>
    </row>
    <row r="358" spans="3:21" x14ac:dyDescent="0.25">
      <c r="C358" s="2" t="s">
        <v>80</v>
      </c>
      <c r="D358" s="2">
        <v>4</v>
      </c>
      <c r="E358" s="2" t="s">
        <v>14</v>
      </c>
      <c r="F358" s="2" t="s">
        <v>60</v>
      </c>
      <c r="G358" s="3">
        <v>3.23</v>
      </c>
      <c r="H358" s="3">
        <v>1.2</v>
      </c>
      <c r="I358" s="3">
        <v>17.739999999999998</v>
      </c>
      <c r="J358" s="3">
        <v>8.67</v>
      </c>
      <c r="K358" s="3">
        <v>16.82</v>
      </c>
      <c r="L358" s="21">
        <v>13.34</v>
      </c>
      <c r="M358" s="3">
        <v>2.13</v>
      </c>
      <c r="N358" s="2" t="s">
        <v>16</v>
      </c>
      <c r="O358" s="4" t="s">
        <v>17</v>
      </c>
      <c r="P358" s="18" t="s">
        <v>350</v>
      </c>
      <c r="Q358" s="5">
        <f t="shared" si="15"/>
        <v>15.506</v>
      </c>
      <c r="R358" s="5">
        <f t="shared" si="16"/>
        <v>11.004999999999999</v>
      </c>
      <c r="S358" s="5">
        <f t="shared" si="16"/>
        <v>9.4749999999999996</v>
      </c>
      <c r="T358" s="23">
        <f>('Investor-Inputs'!$G$19 * Q358) + ('Investor-Inputs'!$J$19 * R358) + ('Investor-Inputs'!$N$19 * S358)</f>
        <v>78.002999999999986</v>
      </c>
      <c r="U358" s="27">
        <f t="shared" si="17"/>
        <v>144</v>
      </c>
    </row>
    <row r="359" spans="3:21" x14ac:dyDescent="0.25">
      <c r="C359" s="2" t="s">
        <v>81</v>
      </c>
      <c r="D359" s="2">
        <v>4</v>
      </c>
      <c r="E359" s="2" t="s">
        <v>14</v>
      </c>
      <c r="F359" s="2" t="s">
        <v>60</v>
      </c>
      <c r="G359" s="3">
        <v>2.2400000000000002</v>
      </c>
      <c r="H359" s="3">
        <v>-1.87</v>
      </c>
      <c r="I359" s="3">
        <v>16.010000000000002</v>
      </c>
      <c r="J359" s="3">
        <v>6.27</v>
      </c>
      <c r="K359" s="3">
        <v>14.3</v>
      </c>
      <c r="L359" s="21">
        <v>10.93</v>
      </c>
      <c r="M359" s="3">
        <v>2.09</v>
      </c>
      <c r="N359" s="2" t="s">
        <v>16</v>
      </c>
      <c r="O359" s="4" t="s">
        <v>17</v>
      </c>
      <c r="P359" s="18" t="s">
        <v>350</v>
      </c>
      <c r="Q359" s="5">
        <f t="shared" si="15"/>
        <v>13.554000000000002</v>
      </c>
      <c r="R359" s="5">
        <f t="shared" si="16"/>
        <v>8.6</v>
      </c>
      <c r="S359" s="5">
        <f t="shared" si="16"/>
        <v>8.1950000000000003</v>
      </c>
      <c r="T359" s="23">
        <f>('Investor-Inputs'!$G$19 * Q359) + ('Investor-Inputs'!$J$19 * R359) + ('Investor-Inputs'!$N$19 * S359)</f>
        <v>66.057000000000016</v>
      </c>
      <c r="U359" s="27">
        <f t="shared" si="17"/>
        <v>204</v>
      </c>
    </row>
    <row r="360" spans="3:21" x14ac:dyDescent="0.25">
      <c r="C360" s="2" t="s">
        <v>82</v>
      </c>
      <c r="D360" s="2">
        <v>5</v>
      </c>
      <c r="E360" s="2" t="s">
        <v>14</v>
      </c>
      <c r="F360" s="2" t="s">
        <v>60</v>
      </c>
      <c r="G360" s="3">
        <v>3.77</v>
      </c>
      <c r="H360" s="3">
        <v>-1.46</v>
      </c>
      <c r="I360" s="3">
        <v>16.829999999999998</v>
      </c>
      <c r="J360" s="3">
        <v>9.27</v>
      </c>
      <c r="K360" s="3">
        <v>15.85</v>
      </c>
      <c r="L360" s="21">
        <v>13.27</v>
      </c>
      <c r="M360" s="3">
        <v>1.36</v>
      </c>
      <c r="N360" s="2" t="s">
        <v>16</v>
      </c>
      <c r="O360" s="4" t="s">
        <v>17</v>
      </c>
      <c r="P360" s="18" t="s">
        <v>350</v>
      </c>
      <c r="Q360" s="5">
        <f t="shared" si="15"/>
        <v>14.657</v>
      </c>
      <c r="R360" s="5">
        <f t="shared" si="16"/>
        <v>11.27</v>
      </c>
      <c r="S360" s="5">
        <f t="shared" si="16"/>
        <v>8.6050000000000004</v>
      </c>
      <c r="T360" s="23">
        <f>('Investor-Inputs'!$G$19 * Q360) + ('Investor-Inputs'!$J$19 * R360) + ('Investor-Inputs'!$N$19 * S360)</f>
        <v>75.116</v>
      </c>
      <c r="U360" s="27">
        <f t="shared" si="17"/>
        <v>158</v>
      </c>
    </row>
    <row r="361" spans="3:21" x14ac:dyDescent="0.25">
      <c r="C361" s="2" t="s">
        <v>83</v>
      </c>
      <c r="D361" s="2">
        <v>4</v>
      </c>
      <c r="E361" s="2" t="s">
        <v>14</v>
      </c>
      <c r="F361" s="2" t="s">
        <v>60</v>
      </c>
      <c r="G361" s="3">
        <v>15.83</v>
      </c>
      <c r="H361" s="3">
        <v>15.25</v>
      </c>
      <c r="I361" s="3">
        <v>18.72</v>
      </c>
      <c r="J361" s="3">
        <v>14.78</v>
      </c>
      <c r="K361" s="3">
        <v>15.04</v>
      </c>
      <c r="L361" s="21">
        <v>14.29</v>
      </c>
      <c r="M361" s="3">
        <v>1.51</v>
      </c>
      <c r="N361" s="2" t="s">
        <v>16</v>
      </c>
      <c r="O361" s="4" t="s">
        <v>17</v>
      </c>
      <c r="P361" s="18" t="s">
        <v>350</v>
      </c>
      <c r="Q361" s="5">
        <f t="shared" si="15"/>
        <v>15.007999999999999</v>
      </c>
      <c r="R361" s="5">
        <f t="shared" si="16"/>
        <v>14.535</v>
      </c>
      <c r="S361" s="5">
        <f t="shared" si="16"/>
        <v>8.2750000000000004</v>
      </c>
      <c r="T361" s="23">
        <f>('Investor-Inputs'!$G$19 * Q361) + ('Investor-Inputs'!$J$19 * R361) + ('Investor-Inputs'!$N$19 * S361)</f>
        <v>82.369</v>
      </c>
      <c r="U361" s="27">
        <f t="shared" si="17"/>
        <v>122</v>
      </c>
    </row>
    <row r="362" spans="3:21" x14ac:dyDescent="0.25">
      <c r="C362" s="2" t="s">
        <v>84</v>
      </c>
      <c r="D362" s="2">
        <v>4</v>
      </c>
      <c r="E362" s="2" t="s">
        <v>14</v>
      </c>
      <c r="F362" s="2" t="s">
        <v>60</v>
      </c>
      <c r="G362" s="3">
        <v>7.5</v>
      </c>
      <c r="H362" s="3">
        <v>2.77</v>
      </c>
      <c r="I362" s="3">
        <v>16.7</v>
      </c>
      <c r="J362" s="3">
        <v>8.59</v>
      </c>
      <c r="K362" s="2"/>
      <c r="L362" s="20"/>
      <c r="M362" s="3">
        <v>2.42</v>
      </c>
      <c r="N362" s="2" t="s">
        <v>16</v>
      </c>
      <c r="O362" s="4" t="s">
        <v>17</v>
      </c>
      <c r="P362" s="18" t="s">
        <v>350</v>
      </c>
      <c r="Q362" s="5">
        <f t="shared" si="15"/>
        <v>6.68</v>
      </c>
      <c r="R362" s="5">
        <f t="shared" si="16"/>
        <v>4.2949999999999999</v>
      </c>
      <c r="S362" s="5">
        <f t="shared" si="16"/>
        <v>1.21</v>
      </c>
      <c r="T362" s="23">
        <f>('Investor-Inputs'!$G$19 * Q362) + ('Investor-Inputs'!$J$19 * R362) + ('Investor-Inputs'!$N$19 * S362)</f>
        <v>29.84</v>
      </c>
      <c r="U362" s="27">
        <f t="shared" si="17"/>
        <v>542</v>
      </c>
    </row>
    <row r="363" spans="3:21" x14ac:dyDescent="0.25">
      <c r="C363" s="2" t="s">
        <v>85</v>
      </c>
      <c r="D363" s="2">
        <v>4</v>
      </c>
      <c r="E363" s="2" t="s">
        <v>14</v>
      </c>
      <c r="F363" s="2" t="s">
        <v>60</v>
      </c>
      <c r="G363" s="3">
        <v>3.73</v>
      </c>
      <c r="H363" s="3">
        <v>-1.94</v>
      </c>
      <c r="I363" s="3">
        <v>17.63</v>
      </c>
      <c r="J363" s="3">
        <v>8.34</v>
      </c>
      <c r="K363" s="2"/>
      <c r="L363" s="20"/>
      <c r="M363" s="3">
        <v>1.92</v>
      </c>
      <c r="N363" s="2" t="s">
        <v>16</v>
      </c>
      <c r="O363" s="4" t="s">
        <v>17</v>
      </c>
      <c r="P363" s="18" t="s">
        <v>350</v>
      </c>
      <c r="Q363" s="5">
        <f t="shared" si="15"/>
        <v>7.0519999999999996</v>
      </c>
      <c r="R363" s="5">
        <f t="shared" si="16"/>
        <v>4.17</v>
      </c>
      <c r="S363" s="5">
        <f t="shared" si="16"/>
        <v>0.96</v>
      </c>
      <c r="T363" s="23">
        <f>('Investor-Inputs'!$G$19 * Q363) + ('Investor-Inputs'!$J$19 * R363) + ('Investor-Inputs'!$N$19 * S363)</f>
        <v>30.456</v>
      </c>
      <c r="U363" s="27">
        <f t="shared" si="17"/>
        <v>516</v>
      </c>
    </row>
    <row r="364" spans="3:21" x14ac:dyDescent="0.25">
      <c r="C364" s="2" t="s">
        <v>86</v>
      </c>
      <c r="D364" s="2">
        <v>5</v>
      </c>
      <c r="E364" s="2" t="s">
        <v>14</v>
      </c>
      <c r="F364" s="2" t="s">
        <v>87</v>
      </c>
      <c r="G364" s="3">
        <v>7.22</v>
      </c>
      <c r="H364" s="3">
        <v>1.24</v>
      </c>
      <c r="I364" s="3">
        <v>21.3</v>
      </c>
      <c r="J364" s="3">
        <v>10.81</v>
      </c>
      <c r="K364" s="2"/>
      <c r="L364" s="20"/>
      <c r="M364" s="3">
        <v>2.29</v>
      </c>
      <c r="N364" s="2" t="s">
        <v>16</v>
      </c>
      <c r="O364" s="4" t="s">
        <v>28</v>
      </c>
      <c r="P364" s="18" t="s">
        <v>350</v>
      </c>
      <c r="Q364" s="5">
        <f t="shared" si="15"/>
        <v>8.5200000000000014</v>
      </c>
      <c r="R364" s="5">
        <f t="shared" si="16"/>
        <v>5.4050000000000002</v>
      </c>
      <c r="S364" s="5">
        <f t="shared" si="16"/>
        <v>1.145</v>
      </c>
      <c r="T364" s="23">
        <f>('Investor-Inputs'!$G$19 * Q364) + ('Investor-Inputs'!$J$19 * R364) + ('Investor-Inputs'!$N$19 * S364)</f>
        <v>37.515000000000008</v>
      </c>
      <c r="U364" s="27">
        <f t="shared" si="17"/>
        <v>335</v>
      </c>
    </row>
    <row r="365" spans="3:21" x14ac:dyDescent="0.25">
      <c r="C365" s="2" t="s">
        <v>88</v>
      </c>
      <c r="D365" s="2">
        <v>4</v>
      </c>
      <c r="E365" s="2" t="s">
        <v>14</v>
      </c>
      <c r="F365" s="2" t="s">
        <v>87</v>
      </c>
      <c r="G365" s="3">
        <v>13.77</v>
      </c>
      <c r="H365" s="3">
        <v>10.51</v>
      </c>
      <c r="I365" s="3">
        <v>21.12</v>
      </c>
      <c r="J365" s="3">
        <v>12.49</v>
      </c>
      <c r="K365" s="2"/>
      <c r="L365" s="20"/>
      <c r="M365" s="3">
        <v>2.2400000000000002</v>
      </c>
      <c r="N365" s="2" t="s">
        <v>16</v>
      </c>
      <c r="O365" s="4" t="s">
        <v>17</v>
      </c>
      <c r="P365" s="18" t="s">
        <v>350</v>
      </c>
      <c r="Q365" s="5">
        <f t="shared" si="15"/>
        <v>8.4480000000000004</v>
      </c>
      <c r="R365" s="5">
        <f t="shared" si="16"/>
        <v>6.2450000000000001</v>
      </c>
      <c r="S365" s="5">
        <f t="shared" si="16"/>
        <v>1.1200000000000001</v>
      </c>
      <c r="T365" s="23">
        <f>('Investor-Inputs'!$G$19 * Q365) + ('Investor-Inputs'!$J$19 * R365) + ('Investor-Inputs'!$N$19 * S365)</f>
        <v>38.954000000000001</v>
      </c>
      <c r="U365" s="27">
        <f t="shared" si="17"/>
        <v>333</v>
      </c>
    </row>
    <row r="366" spans="3:21" x14ac:dyDescent="0.25">
      <c r="C366" s="2" t="s">
        <v>89</v>
      </c>
      <c r="D366" s="2">
        <v>4</v>
      </c>
      <c r="E366" s="2" t="s">
        <v>14</v>
      </c>
      <c r="F366" s="2" t="s">
        <v>87</v>
      </c>
      <c r="G366" s="3">
        <v>9.74</v>
      </c>
      <c r="H366" s="3">
        <v>5.17</v>
      </c>
      <c r="I366" s="3">
        <v>22.24</v>
      </c>
      <c r="J366" s="3">
        <v>11.16</v>
      </c>
      <c r="K366" s="2"/>
      <c r="L366" s="20"/>
      <c r="M366" s="3">
        <v>2.2200000000000002</v>
      </c>
      <c r="N366" s="2" t="s">
        <v>16</v>
      </c>
      <c r="O366" s="4" t="s">
        <v>28</v>
      </c>
      <c r="P366" s="18" t="s">
        <v>350</v>
      </c>
      <c r="Q366" s="5">
        <f t="shared" si="15"/>
        <v>8.895999999999999</v>
      </c>
      <c r="R366" s="5">
        <f t="shared" si="16"/>
        <v>5.58</v>
      </c>
      <c r="S366" s="5">
        <f t="shared" si="16"/>
        <v>1.1100000000000001</v>
      </c>
      <c r="T366" s="23">
        <f>('Investor-Inputs'!$G$19 * Q366) + ('Investor-Inputs'!$J$19 * R366) + ('Investor-Inputs'!$N$19 * S366)</f>
        <v>38.957999999999998</v>
      </c>
      <c r="U366" s="27">
        <f t="shared" si="17"/>
        <v>331</v>
      </c>
    </row>
    <row r="367" spans="3:21" x14ac:dyDescent="0.25">
      <c r="C367" s="2" t="s">
        <v>90</v>
      </c>
      <c r="D367" s="2">
        <v>4</v>
      </c>
      <c r="E367" s="2" t="s">
        <v>14</v>
      </c>
      <c r="F367" s="2" t="s">
        <v>87</v>
      </c>
      <c r="G367" s="3">
        <v>7.74</v>
      </c>
      <c r="H367" s="3">
        <v>7.85</v>
      </c>
      <c r="I367" s="3">
        <v>20.309999999999999</v>
      </c>
      <c r="J367" s="3">
        <v>11.44</v>
      </c>
      <c r="K367" s="3">
        <v>17.829999999999998</v>
      </c>
      <c r="L367" s="21">
        <v>15.16</v>
      </c>
      <c r="M367" s="3">
        <v>2.02</v>
      </c>
      <c r="N367" s="2" t="s">
        <v>16</v>
      </c>
      <c r="O367" s="4" t="s">
        <v>24</v>
      </c>
      <c r="P367" s="18" t="s">
        <v>350</v>
      </c>
      <c r="Q367" s="5">
        <f t="shared" si="15"/>
        <v>17.039000000000001</v>
      </c>
      <c r="R367" s="5">
        <f t="shared" si="16"/>
        <v>13.3</v>
      </c>
      <c r="S367" s="5">
        <f t="shared" si="16"/>
        <v>9.9249999999999989</v>
      </c>
      <c r="T367" s="23">
        <f>('Investor-Inputs'!$G$19 * Q367) + ('Investor-Inputs'!$J$19 * R367) + ('Investor-Inputs'!$N$19 * S367)</f>
        <v>87.64200000000001</v>
      </c>
      <c r="U367" s="27">
        <f t="shared" si="17"/>
        <v>89</v>
      </c>
    </row>
    <row r="368" spans="3:21" x14ac:dyDescent="0.25">
      <c r="C368" s="2" t="s">
        <v>91</v>
      </c>
      <c r="D368" s="2">
        <v>5</v>
      </c>
      <c r="E368" s="2" t="s">
        <v>14</v>
      </c>
      <c r="F368" s="2" t="s">
        <v>87</v>
      </c>
      <c r="G368" s="3">
        <v>11.15</v>
      </c>
      <c r="H368" s="3">
        <v>6.06</v>
      </c>
      <c r="I368" s="3">
        <v>22.8</v>
      </c>
      <c r="J368" s="3">
        <v>11.97</v>
      </c>
      <c r="K368" s="2"/>
      <c r="L368" s="20"/>
      <c r="M368" s="3">
        <v>1.64</v>
      </c>
      <c r="N368" s="2" t="s">
        <v>16</v>
      </c>
      <c r="O368" s="4" t="s">
        <v>28</v>
      </c>
      <c r="P368" s="18" t="s">
        <v>350</v>
      </c>
      <c r="Q368" s="5">
        <f t="shared" si="15"/>
        <v>9.120000000000001</v>
      </c>
      <c r="R368" s="5">
        <f t="shared" si="16"/>
        <v>5.9850000000000003</v>
      </c>
      <c r="S368" s="5">
        <f t="shared" si="16"/>
        <v>0.82</v>
      </c>
      <c r="T368" s="23">
        <f>('Investor-Inputs'!$G$19 * Q368) + ('Investor-Inputs'!$J$19 * R368) + ('Investor-Inputs'!$N$19 * S368)</f>
        <v>40.150000000000006</v>
      </c>
      <c r="U368" s="27">
        <f t="shared" si="17"/>
        <v>325</v>
      </c>
    </row>
    <row r="369" spans="3:21" x14ac:dyDescent="0.25">
      <c r="C369" s="2" t="s">
        <v>92</v>
      </c>
      <c r="D369" s="2">
        <v>4</v>
      </c>
      <c r="E369" s="2" t="s">
        <v>14</v>
      </c>
      <c r="F369" s="2" t="s">
        <v>87</v>
      </c>
      <c r="G369" s="3">
        <v>10.06</v>
      </c>
      <c r="H369" s="3">
        <v>6.32</v>
      </c>
      <c r="I369" s="3">
        <v>20.36</v>
      </c>
      <c r="J369" s="3">
        <v>10.59</v>
      </c>
      <c r="K369" s="3">
        <v>17.84</v>
      </c>
      <c r="L369" s="21">
        <v>14.39</v>
      </c>
      <c r="M369" s="3">
        <v>2.91</v>
      </c>
      <c r="N369" s="2" t="s">
        <v>16</v>
      </c>
      <c r="O369" s="4" t="s">
        <v>17</v>
      </c>
      <c r="P369" s="18" t="s">
        <v>350</v>
      </c>
      <c r="Q369" s="5">
        <f t="shared" si="15"/>
        <v>17.064</v>
      </c>
      <c r="R369" s="5">
        <f t="shared" si="16"/>
        <v>12.49</v>
      </c>
      <c r="S369" s="5">
        <f t="shared" si="16"/>
        <v>10.375</v>
      </c>
      <c r="T369" s="23">
        <f>('Investor-Inputs'!$G$19 * Q369) + ('Investor-Inputs'!$J$19 * R369) + ('Investor-Inputs'!$N$19 * S369)</f>
        <v>86.546999999999997</v>
      </c>
      <c r="U369" s="27">
        <f t="shared" si="17"/>
        <v>98</v>
      </c>
    </row>
    <row r="370" spans="3:21" x14ac:dyDescent="0.25">
      <c r="C370" s="2" t="s">
        <v>93</v>
      </c>
      <c r="D370" s="2">
        <v>5</v>
      </c>
      <c r="E370" s="2" t="s">
        <v>14</v>
      </c>
      <c r="F370" s="2" t="s">
        <v>87</v>
      </c>
      <c r="G370" s="3">
        <v>7.19</v>
      </c>
      <c r="H370" s="3">
        <v>1.59</v>
      </c>
      <c r="I370" s="3">
        <v>20.32</v>
      </c>
      <c r="J370" s="3">
        <v>9.75</v>
      </c>
      <c r="K370" s="3">
        <v>21.31</v>
      </c>
      <c r="L370" s="21">
        <v>16.27</v>
      </c>
      <c r="M370" s="3">
        <v>1.47</v>
      </c>
      <c r="N370" s="2" t="s">
        <v>16</v>
      </c>
      <c r="O370" s="4" t="s">
        <v>17</v>
      </c>
      <c r="P370" s="18" t="s">
        <v>350</v>
      </c>
      <c r="Q370" s="5">
        <f t="shared" si="15"/>
        <v>18.783000000000001</v>
      </c>
      <c r="R370" s="5">
        <f t="shared" si="16"/>
        <v>13.01</v>
      </c>
      <c r="S370" s="5">
        <f t="shared" si="16"/>
        <v>11.389999999999999</v>
      </c>
      <c r="T370" s="23">
        <f>('Investor-Inputs'!$G$19 * Q370) + ('Investor-Inputs'!$J$19 * R370) + ('Investor-Inputs'!$N$19 * S370)</f>
        <v>93.759</v>
      </c>
      <c r="U370" s="27">
        <f t="shared" si="17"/>
        <v>63</v>
      </c>
    </row>
    <row r="371" spans="3:21" x14ac:dyDescent="0.25">
      <c r="C371" s="2" t="s">
        <v>94</v>
      </c>
      <c r="D371" s="2">
        <v>5</v>
      </c>
      <c r="E371" s="2" t="s">
        <v>14</v>
      </c>
      <c r="F371" s="2" t="s">
        <v>95</v>
      </c>
      <c r="G371" s="3">
        <v>10.73</v>
      </c>
      <c r="H371" s="3">
        <v>5.67</v>
      </c>
      <c r="I371" s="3">
        <v>24.72</v>
      </c>
      <c r="J371" s="3">
        <v>14.67</v>
      </c>
      <c r="K371" s="3">
        <v>21.02</v>
      </c>
      <c r="L371" s="21">
        <v>18.48</v>
      </c>
      <c r="M371" s="3">
        <v>1.8</v>
      </c>
      <c r="N371" s="2" t="s">
        <v>16</v>
      </c>
      <c r="O371" s="4" t="s">
        <v>17</v>
      </c>
      <c r="P371" s="18" t="s">
        <v>350</v>
      </c>
      <c r="Q371" s="5">
        <f t="shared" si="15"/>
        <v>20.398</v>
      </c>
      <c r="R371" s="5">
        <f t="shared" si="16"/>
        <v>16.574999999999999</v>
      </c>
      <c r="S371" s="5">
        <f t="shared" si="16"/>
        <v>11.41</v>
      </c>
      <c r="T371" s="23">
        <f>('Investor-Inputs'!$G$19 * Q371) + ('Investor-Inputs'!$J$19 * R371) + ('Investor-Inputs'!$N$19 * S371)</f>
        <v>105.75399999999999</v>
      </c>
      <c r="U371" s="27">
        <f t="shared" si="17"/>
        <v>39</v>
      </c>
    </row>
    <row r="372" spans="3:21" x14ac:dyDescent="0.25">
      <c r="C372" s="2" t="s">
        <v>96</v>
      </c>
      <c r="D372" s="2">
        <v>5</v>
      </c>
      <c r="E372" s="2" t="s">
        <v>14</v>
      </c>
      <c r="F372" s="2" t="s">
        <v>95</v>
      </c>
      <c r="G372" s="3">
        <v>10.69</v>
      </c>
      <c r="H372" s="3">
        <v>2.78</v>
      </c>
      <c r="I372" s="3">
        <v>23.56</v>
      </c>
      <c r="J372" s="3">
        <v>12.21</v>
      </c>
      <c r="K372" s="3">
        <v>21.25</v>
      </c>
      <c r="L372" s="21">
        <v>18.34</v>
      </c>
      <c r="M372" s="3">
        <v>1.3</v>
      </c>
      <c r="N372" s="2" t="s">
        <v>16</v>
      </c>
      <c r="O372" s="4" t="s">
        <v>17</v>
      </c>
      <c r="P372" s="18" t="s">
        <v>350</v>
      </c>
      <c r="Q372" s="5">
        <f t="shared" si="15"/>
        <v>20.048999999999999</v>
      </c>
      <c r="R372" s="5">
        <f t="shared" si="16"/>
        <v>15.275</v>
      </c>
      <c r="S372" s="5">
        <f t="shared" si="16"/>
        <v>11.275</v>
      </c>
      <c r="T372" s="23">
        <f>('Investor-Inputs'!$G$19 * Q372) + ('Investor-Inputs'!$J$19 * R372) + ('Investor-Inputs'!$N$19 * S372)</f>
        <v>101.97200000000001</v>
      </c>
      <c r="U372" s="27">
        <f t="shared" si="17"/>
        <v>45</v>
      </c>
    </row>
    <row r="373" spans="3:21" x14ac:dyDescent="0.25">
      <c r="C373" s="2" t="s">
        <v>97</v>
      </c>
      <c r="D373" s="2">
        <v>4</v>
      </c>
      <c r="E373" s="2" t="s">
        <v>14</v>
      </c>
      <c r="F373" s="2" t="s">
        <v>95</v>
      </c>
      <c r="G373" s="3">
        <v>24.33</v>
      </c>
      <c r="H373" s="3">
        <v>19.63</v>
      </c>
      <c r="I373" s="3">
        <v>26.21</v>
      </c>
      <c r="J373" s="3">
        <v>18.78</v>
      </c>
      <c r="K373" s="3">
        <v>20.73</v>
      </c>
      <c r="L373" s="21">
        <v>19.600000000000001</v>
      </c>
      <c r="M373" s="3">
        <v>1.84</v>
      </c>
      <c r="N373" s="2" t="s">
        <v>16</v>
      </c>
      <c r="O373" s="4" t="s">
        <v>17</v>
      </c>
      <c r="P373" s="18" t="s">
        <v>350</v>
      </c>
      <c r="Q373" s="5">
        <f t="shared" si="15"/>
        <v>20.849000000000004</v>
      </c>
      <c r="R373" s="5">
        <f t="shared" si="16"/>
        <v>19.190000000000001</v>
      </c>
      <c r="S373" s="5">
        <f t="shared" si="16"/>
        <v>11.285</v>
      </c>
      <c r="T373" s="23">
        <f>('Investor-Inputs'!$G$19 * Q373) + ('Investor-Inputs'!$J$19 * R373) + ('Investor-Inputs'!$N$19 * S373)</f>
        <v>112.21200000000002</v>
      </c>
      <c r="U373" s="27">
        <f t="shared" si="17"/>
        <v>25</v>
      </c>
    </row>
    <row r="374" spans="3:21" x14ac:dyDescent="0.25">
      <c r="C374" s="2" t="s">
        <v>98</v>
      </c>
      <c r="D374" s="2">
        <v>4</v>
      </c>
      <c r="E374" s="2" t="s">
        <v>14</v>
      </c>
      <c r="F374" s="2" t="s">
        <v>95</v>
      </c>
      <c r="G374" s="3">
        <v>13.6</v>
      </c>
      <c r="H374" s="3">
        <v>4.16</v>
      </c>
      <c r="I374" s="3">
        <v>25.59</v>
      </c>
      <c r="J374" s="3">
        <v>16.05</v>
      </c>
      <c r="K374" s="3">
        <v>21.01</v>
      </c>
      <c r="L374" s="21">
        <v>19.18</v>
      </c>
      <c r="M374" s="3">
        <v>2.17</v>
      </c>
      <c r="N374" s="2" t="s">
        <v>16</v>
      </c>
      <c r="O374" s="4" t="s">
        <v>28</v>
      </c>
      <c r="P374" s="18" t="s">
        <v>350</v>
      </c>
      <c r="Q374" s="5">
        <f t="shared" si="15"/>
        <v>20.741</v>
      </c>
      <c r="R374" s="5">
        <f t="shared" si="16"/>
        <v>17.615000000000002</v>
      </c>
      <c r="S374" s="5">
        <f t="shared" si="16"/>
        <v>11.59</v>
      </c>
      <c r="T374" s="23">
        <f>('Investor-Inputs'!$G$19 * Q374) + ('Investor-Inputs'!$J$19 * R374) + ('Investor-Inputs'!$N$19 * S374)</f>
        <v>109.04300000000001</v>
      </c>
      <c r="U374" s="27">
        <f t="shared" si="17"/>
        <v>33</v>
      </c>
    </row>
    <row r="375" spans="3:21" x14ac:dyDescent="0.25">
      <c r="C375" s="2" t="s">
        <v>99</v>
      </c>
      <c r="D375" s="2">
        <v>4</v>
      </c>
      <c r="E375" s="2" t="s">
        <v>14</v>
      </c>
      <c r="F375" s="2" t="s">
        <v>95</v>
      </c>
      <c r="G375" s="3">
        <v>11.39</v>
      </c>
      <c r="H375" s="3">
        <v>6.83</v>
      </c>
      <c r="I375" s="3">
        <v>23.61</v>
      </c>
      <c r="J375" s="3">
        <v>12.25</v>
      </c>
      <c r="K375" s="3">
        <v>16.78</v>
      </c>
      <c r="L375" s="21">
        <v>16.260000000000002</v>
      </c>
      <c r="M375" s="3">
        <v>1.84</v>
      </c>
      <c r="N375" s="2" t="s">
        <v>16</v>
      </c>
      <c r="O375" s="4" t="s">
        <v>17</v>
      </c>
      <c r="P375" s="18" t="s">
        <v>350</v>
      </c>
      <c r="Q375" s="5">
        <f t="shared" si="15"/>
        <v>17.834000000000003</v>
      </c>
      <c r="R375" s="5">
        <f t="shared" si="16"/>
        <v>14.255000000000001</v>
      </c>
      <c r="S375" s="5">
        <f t="shared" si="16"/>
        <v>9.31</v>
      </c>
      <c r="T375" s="23">
        <f>('Investor-Inputs'!$G$19 * Q375) + ('Investor-Inputs'!$J$19 * R375) + ('Investor-Inputs'!$N$19 * S375)</f>
        <v>91.322000000000017</v>
      </c>
      <c r="U375" s="27">
        <f t="shared" si="17"/>
        <v>75</v>
      </c>
    </row>
    <row r="376" spans="3:21" x14ac:dyDescent="0.25">
      <c r="C376" s="2" t="s">
        <v>100</v>
      </c>
      <c r="D376" s="2">
        <v>4</v>
      </c>
      <c r="E376" s="2" t="s">
        <v>14</v>
      </c>
      <c r="F376" s="2" t="s">
        <v>95</v>
      </c>
      <c r="G376" s="3">
        <v>7.09</v>
      </c>
      <c r="H376" s="3">
        <v>3.68</v>
      </c>
      <c r="I376" s="3">
        <v>23.26</v>
      </c>
      <c r="J376" s="3">
        <v>10.26</v>
      </c>
      <c r="K376" s="2"/>
      <c r="L376" s="20"/>
      <c r="M376" s="3">
        <v>2.31</v>
      </c>
      <c r="N376" s="2" t="s">
        <v>16</v>
      </c>
      <c r="O376" s="4" t="s">
        <v>17</v>
      </c>
      <c r="P376" s="18" t="s">
        <v>350</v>
      </c>
      <c r="Q376" s="5">
        <f t="shared" si="15"/>
        <v>9.3040000000000003</v>
      </c>
      <c r="R376" s="5">
        <f t="shared" si="16"/>
        <v>5.13</v>
      </c>
      <c r="S376" s="5">
        <f t="shared" si="16"/>
        <v>1.155</v>
      </c>
      <c r="T376" s="23">
        <f>('Investor-Inputs'!$G$19 * Q376) + ('Investor-Inputs'!$J$19 * R376) + ('Investor-Inputs'!$N$19 * S376)</f>
        <v>39.326999999999998</v>
      </c>
      <c r="U376" s="27">
        <f t="shared" si="17"/>
        <v>329</v>
      </c>
    </row>
    <row r="377" spans="3:21" x14ac:dyDescent="0.25">
      <c r="C377" s="2" t="s">
        <v>101</v>
      </c>
      <c r="D377" s="2">
        <v>4</v>
      </c>
      <c r="E377" s="2" t="s">
        <v>14</v>
      </c>
      <c r="F377" s="2" t="s">
        <v>95</v>
      </c>
      <c r="G377" s="3">
        <v>13.91</v>
      </c>
      <c r="H377" s="3">
        <v>6.69</v>
      </c>
      <c r="I377" s="3">
        <v>21.47</v>
      </c>
      <c r="J377" s="3">
        <v>13.11</v>
      </c>
      <c r="K377" s="3">
        <v>18.88</v>
      </c>
      <c r="L377" s="21">
        <v>16.37</v>
      </c>
      <c r="M377" s="3">
        <v>1.45</v>
      </c>
      <c r="N377" s="2" t="s">
        <v>16</v>
      </c>
      <c r="O377" s="4" t="s">
        <v>24</v>
      </c>
      <c r="P377" s="18" t="s">
        <v>350</v>
      </c>
      <c r="Q377" s="5">
        <f t="shared" si="15"/>
        <v>18.027999999999999</v>
      </c>
      <c r="R377" s="5">
        <f t="shared" si="16"/>
        <v>14.74</v>
      </c>
      <c r="S377" s="5">
        <f t="shared" si="16"/>
        <v>10.164999999999999</v>
      </c>
      <c r="T377" s="23">
        <f>('Investor-Inputs'!$G$19 * Q377) + ('Investor-Inputs'!$J$19 * R377) + ('Investor-Inputs'!$N$19 * S377)</f>
        <v>93.728999999999985</v>
      </c>
      <c r="U377" s="27">
        <f t="shared" si="17"/>
        <v>65</v>
      </c>
    </row>
    <row r="378" spans="3:21" x14ac:dyDescent="0.25">
      <c r="C378" s="2" t="s">
        <v>102</v>
      </c>
      <c r="D378" s="2">
        <v>4</v>
      </c>
      <c r="E378" s="2" t="s">
        <v>14</v>
      </c>
      <c r="F378" s="2" t="s">
        <v>95</v>
      </c>
      <c r="G378" s="3">
        <v>12.03</v>
      </c>
      <c r="H378" s="3">
        <v>11.03</v>
      </c>
      <c r="I378" s="3">
        <v>24.21</v>
      </c>
      <c r="J378" s="3">
        <v>13.27</v>
      </c>
      <c r="K378" s="3">
        <v>20.100000000000001</v>
      </c>
      <c r="L378" s="21">
        <v>17.7</v>
      </c>
      <c r="M378" s="3">
        <v>2.27</v>
      </c>
      <c r="N378" s="2" t="s">
        <v>16</v>
      </c>
      <c r="O378" s="4" t="s">
        <v>17</v>
      </c>
      <c r="P378" s="18" t="s">
        <v>350</v>
      </c>
      <c r="Q378" s="5">
        <f t="shared" si="15"/>
        <v>19.734000000000002</v>
      </c>
      <c r="R378" s="5">
        <f t="shared" si="16"/>
        <v>15.484999999999999</v>
      </c>
      <c r="S378" s="5">
        <f t="shared" si="16"/>
        <v>11.185</v>
      </c>
      <c r="T378" s="23">
        <f>('Investor-Inputs'!$G$19 * Q378) + ('Investor-Inputs'!$J$19 * R378) + ('Investor-Inputs'!$N$19 * S378)</f>
        <v>101.357</v>
      </c>
      <c r="U378" s="27">
        <f t="shared" si="17"/>
        <v>47</v>
      </c>
    </row>
    <row r="379" spans="3:21" x14ac:dyDescent="0.25">
      <c r="C379" s="2" t="s">
        <v>103</v>
      </c>
      <c r="D379" s="2">
        <v>4</v>
      </c>
      <c r="E379" s="2" t="s">
        <v>14</v>
      </c>
      <c r="F379" s="2" t="s">
        <v>95</v>
      </c>
      <c r="G379" s="3">
        <v>-3.85</v>
      </c>
      <c r="H379" s="3">
        <v>-12.01</v>
      </c>
      <c r="I379" s="3">
        <v>20.88</v>
      </c>
      <c r="J379" s="3">
        <v>6.03</v>
      </c>
      <c r="K379" s="3">
        <v>22.82</v>
      </c>
      <c r="L379" s="21">
        <v>15.79</v>
      </c>
      <c r="M379" s="3">
        <v>1.61</v>
      </c>
      <c r="N379" s="2" t="s">
        <v>16</v>
      </c>
      <c r="O379" s="4" t="s">
        <v>28</v>
      </c>
      <c r="P379" s="18" t="s">
        <v>350</v>
      </c>
      <c r="Q379" s="5">
        <f t="shared" si="15"/>
        <v>19.762</v>
      </c>
      <c r="R379" s="5">
        <f t="shared" si="16"/>
        <v>10.91</v>
      </c>
      <c r="S379" s="5">
        <f t="shared" si="16"/>
        <v>12.215</v>
      </c>
      <c r="T379" s="23">
        <f>('Investor-Inputs'!$G$19 * Q379) + ('Investor-Inputs'!$J$19 * R379) + ('Investor-Inputs'!$N$19 * S379)</f>
        <v>93.320999999999998</v>
      </c>
      <c r="U379" s="27">
        <f t="shared" si="17"/>
        <v>69</v>
      </c>
    </row>
    <row r="380" spans="3:21" x14ac:dyDescent="0.25">
      <c r="C380" s="2" t="s">
        <v>104</v>
      </c>
      <c r="D380" s="2">
        <v>5</v>
      </c>
      <c r="E380" s="2" t="s">
        <v>14</v>
      </c>
      <c r="F380" s="2" t="s">
        <v>95</v>
      </c>
      <c r="G380" s="3">
        <v>12.26</v>
      </c>
      <c r="H380" s="3">
        <v>8.8800000000000008</v>
      </c>
      <c r="I380" s="3">
        <v>25.44</v>
      </c>
      <c r="J380" s="3">
        <v>14.46</v>
      </c>
      <c r="K380" s="3">
        <v>22.24</v>
      </c>
      <c r="L380" s="21">
        <v>19.04</v>
      </c>
      <c r="M380" s="3">
        <v>1.92</v>
      </c>
      <c r="N380" s="2" t="s">
        <v>16</v>
      </c>
      <c r="O380" s="4" t="s">
        <v>28</v>
      </c>
      <c r="P380" s="18" t="s">
        <v>350</v>
      </c>
      <c r="Q380" s="5">
        <f t="shared" si="15"/>
        <v>21.295999999999999</v>
      </c>
      <c r="R380" s="5">
        <f t="shared" si="16"/>
        <v>16.75</v>
      </c>
      <c r="S380" s="5">
        <f t="shared" si="16"/>
        <v>12.079999999999998</v>
      </c>
      <c r="T380" s="23">
        <f>('Investor-Inputs'!$G$19 * Q380) + ('Investor-Inputs'!$J$19 * R380) + ('Investor-Inputs'!$N$19 * S380)</f>
        <v>109.468</v>
      </c>
      <c r="U380" s="27">
        <f t="shared" si="17"/>
        <v>31</v>
      </c>
    </row>
    <row r="381" spans="3:21" x14ac:dyDescent="0.25">
      <c r="C381" s="2" t="s">
        <v>105</v>
      </c>
      <c r="D381" s="2">
        <v>4</v>
      </c>
      <c r="E381" s="2" t="s">
        <v>14</v>
      </c>
      <c r="F381" s="2" t="s">
        <v>95</v>
      </c>
      <c r="G381" s="3">
        <v>11.3</v>
      </c>
      <c r="H381" s="3">
        <v>5.56</v>
      </c>
      <c r="I381" s="3">
        <v>24.15</v>
      </c>
      <c r="J381" s="3">
        <v>13.44</v>
      </c>
      <c r="K381" s="3">
        <v>19.86</v>
      </c>
      <c r="L381" s="21">
        <v>17.61</v>
      </c>
      <c r="M381" s="3">
        <v>2.25</v>
      </c>
      <c r="N381" s="2" t="s">
        <v>16</v>
      </c>
      <c r="O381" s="4" t="s">
        <v>17</v>
      </c>
      <c r="P381" s="18" t="s">
        <v>350</v>
      </c>
      <c r="Q381" s="5">
        <f t="shared" si="15"/>
        <v>19.59</v>
      </c>
      <c r="R381" s="5">
        <f t="shared" si="16"/>
        <v>15.524999999999999</v>
      </c>
      <c r="S381" s="5">
        <f t="shared" si="16"/>
        <v>11.055</v>
      </c>
      <c r="T381" s="23">
        <f>('Investor-Inputs'!$G$19 * Q381) + ('Investor-Inputs'!$J$19 * R381) + ('Investor-Inputs'!$N$19 * S381)</f>
        <v>100.875</v>
      </c>
      <c r="U381" s="27">
        <f t="shared" si="17"/>
        <v>49</v>
      </c>
    </row>
    <row r="382" spans="3:21" x14ac:dyDescent="0.25">
      <c r="C382" s="2" t="s">
        <v>106</v>
      </c>
      <c r="D382" s="2">
        <v>5</v>
      </c>
      <c r="E382" s="2" t="s">
        <v>14</v>
      </c>
      <c r="F382" s="2" t="s">
        <v>95</v>
      </c>
      <c r="G382" s="3">
        <v>15.16</v>
      </c>
      <c r="H382" s="3">
        <v>8.4499999999999993</v>
      </c>
      <c r="I382" s="3">
        <v>25.61</v>
      </c>
      <c r="J382" s="3">
        <v>15.18</v>
      </c>
      <c r="K382" s="2"/>
      <c r="L382" s="20"/>
      <c r="M382" s="3">
        <v>2.02</v>
      </c>
      <c r="N382" s="2" t="s">
        <v>16</v>
      </c>
      <c r="O382" s="4" t="s">
        <v>17</v>
      </c>
      <c r="P382" s="18" t="s">
        <v>350</v>
      </c>
      <c r="Q382" s="5">
        <f t="shared" si="15"/>
        <v>10.244</v>
      </c>
      <c r="R382" s="5">
        <f t="shared" si="16"/>
        <v>7.59</v>
      </c>
      <c r="S382" s="5">
        <f t="shared" si="16"/>
        <v>1.01</v>
      </c>
      <c r="T382" s="23">
        <f>('Investor-Inputs'!$G$19 * Q382) + ('Investor-Inputs'!$J$19 * R382) + ('Investor-Inputs'!$N$19 * S382)</f>
        <v>46.921999999999997</v>
      </c>
      <c r="U382" s="27">
        <f t="shared" si="17"/>
        <v>289</v>
      </c>
    </row>
    <row r="383" spans="3:21" x14ac:dyDescent="0.25">
      <c r="C383" s="2" t="s">
        <v>107</v>
      </c>
      <c r="D383" s="2">
        <v>4</v>
      </c>
      <c r="E383" s="2" t="s">
        <v>14</v>
      </c>
      <c r="F383" s="2" t="s">
        <v>108</v>
      </c>
      <c r="G383" s="3">
        <v>10.08</v>
      </c>
      <c r="H383" s="3">
        <v>7.41</v>
      </c>
      <c r="I383" s="3">
        <v>24.27</v>
      </c>
      <c r="J383" s="3">
        <v>10.89</v>
      </c>
      <c r="K383" s="2"/>
      <c r="L383" s="20"/>
      <c r="M383" s="3">
        <v>1.05</v>
      </c>
      <c r="N383" s="2" t="s">
        <v>16</v>
      </c>
      <c r="O383" s="4" t="s">
        <v>17</v>
      </c>
      <c r="P383" s="18" t="s">
        <v>350</v>
      </c>
      <c r="Q383" s="5">
        <f t="shared" si="15"/>
        <v>9.7080000000000002</v>
      </c>
      <c r="R383" s="5">
        <f t="shared" si="16"/>
        <v>5.4450000000000003</v>
      </c>
      <c r="S383" s="5">
        <f t="shared" si="16"/>
        <v>0.52500000000000002</v>
      </c>
      <c r="T383" s="23">
        <f>('Investor-Inputs'!$G$19 * Q383) + ('Investor-Inputs'!$J$19 * R383) + ('Investor-Inputs'!$N$19 * S383)</f>
        <v>40.539000000000001</v>
      </c>
      <c r="U383" s="27">
        <f t="shared" si="17"/>
        <v>321</v>
      </c>
    </row>
    <row r="384" spans="3:21" x14ac:dyDescent="0.25">
      <c r="C384" s="2" t="s">
        <v>109</v>
      </c>
      <c r="D384" s="2">
        <v>4</v>
      </c>
      <c r="E384" s="2" t="s">
        <v>14</v>
      </c>
      <c r="F384" s="2" t="s">
        <v>108</v>
      </c>
      <c r="G384" s="3">
        <v>8.4499999999999993</v>
      </c>
      <c r="H384" s="3">
        <v>4.16</v>
      </c>
      <c r="I384" s="3">
        <v>17.829999999999998</v>
      </c>
      <c r="J384" s="3">
        <v>8.85</v>
      </c>
      <c r="K384" s="3">
        <v>18.11</v>
      </c>
      <c r="L384" s="21">
        <v>13.47</v>
      </c>
      <c r="M384" s="3">
        <v>1.74</v>
      </c>
      <c r="N384" s="2" t="s">
        <v>16</v>
      </c>
      <c r="O384" s="4" t="s">
        <v>110</v>
      </c>
      <c r="P384" s="18" t="s">
        <v>350</v>
      </c>
      <c r="Q384" s="5">
        <f t="shared" si="15"/>
        <v>16.186999999999998</v>
      </c>
      <c r="R384" s="5">
        <f t="shared" si="16"/>
        <v>11.16</v>
      </c>
      <c r="S384" s="5">
        <f t="shared" si="16"/>
        <v>9.9249999999999989</v>
      </c>
      <c r="T384" s="23">
        <f>('Investor-Inputs'!$G$19 * Q384) + ('Investor-Inputs'!$J$19 * R384) + ('Investor-Inputs'!$N$19 * S384)</f>
        <v>80.805999999999997</v>
      </c>
      <c r="U384" s="27">
        <f t="shared" si="17"/>
        <v>128</v>
      </c>
    </row>
    <row r="385" spans="3:21" x14ac:dyDescent="0.25">
      <c r="C385" s="2" t="s">
        <v>111</v>
      </c>
      <c r="D385" s="2">
        <v>5</v>
      </c>
      <c r="E385" s="2" t="s">
        <v>14</v>
      </c>
      <c r="F385" s="2" t="s">
        <v>108</v>
      </c>
      <c r="G385" s="3">
        <v>13.73</v>
      </c>
      <c r="H385" s="3">
        <v>8.68</v>
      </c>
      <c r="I385" s="3">
        <v>30.4</v>
      </c>
      <c r="J385" s="3">
        <v>16.61</v>
      </c>
      <c r="K385" s="3">
        <v>22.81</v>
      </c>
      <c r="L385" s="21">
        <v>20.73</v>
      </c>
      <c r="M385" s="3">
        <v>1.98</v>
      </c>
      <c r="N385" s="2" t="s">
        <v>16</v>
      </c>
      <c r="O385" s="4" t="s">
        <v>28</v>
      </c>
      <c r="P385" s="18" t="s">
        <v>350</v>
      </c>
      <c r="Q385" s="5">
        <f t="shared" si="15"/>
        <v>23.564999999999998</v>
      </c>
      <c r="R385" s="5">
        <f t="shared" si="16"/>
        <v>18.670000000000002</v>
      </c>
      <c r="S385" s="5">
        <f t="shared" si="16"/>
        <v>12.395</v>
      </c>
      <c r="T385" s="23">
        <f>('Investor-Inputs'!$G$19 * Q385) + ('Investor-Inputs'!$J$19 * R385) + ('Investor-Inputs'!$N$19 * S385)</f>
        <v>120.42999999999999</v>
      </c>
      <c r="U385" s="27">
        <f t="shared" si="17"/>
        <v>13</v>
      </c>
    </row>
    <row r="386" spans="3:21" x14ac:dyDescent="0.25">
      <c r="C386" s="2" t="s">
        <v>112</v>
      </c>
      <c r="D386" s="2">
        <v>4</v>
      </c>
      <c r="E386" s="2" t="s">
        <v>14</v>
      </c>
      <c r="F386" s="2" t="s">
        <v>108</v>
      </c>
      <c r="G386" s="3">
        <v>9.75</v>
      </c>
      <c r="H386" s="3">
        <v>4.1500000000000004</v>
      </c>
      <c r="I386" s="3">
        <v>19.04</v>
      </c>
      <c r="J386" s="3">
        <v>8.69</v>
      </c>
      <c r="K386" s="3">
        <v>19.37</v>
      </c>
      <c r="L386" s="21">
        <v>14.24</v>
      </c>
      <c r="M386" s="3">
        <v>2.13</v>
      </c>
      <c r="N386" s="2" t="s">
        <v>16</v>
      </c>
      <c r="O386" s="4" t="s">
        <v>24</v>
      </c>
      <c r="P386" s="18" t="s">
        <v>350</v>
      </c>
      <c r="Q386" s="5">
        <f t="shared" si="15"/>
        <v>17.301000000000002</v>
      </c>
      <c r="R386" s="5">
        <f t="shared" si="16"/>
        <v>11.465</v>
      </c>
      <c r="S386" s="5">
        <f t="shared" si="16"/>
        <v>10.75</v>
      </c>
      <c r="T386" s="23">
        <f>('Investor-Inputs'!$G$19 * Q386) + ('Investor-Inputs'!$J$19 * R386) + ('Investor-Inputs'!$N$19 * S386)</f>
        <v>85.582999999999998</v>
      </c>
      <c r="U386" s="27">
        <f t="shared" si="17"/>
        <v>108</v>
      </c>
    </row>
    <row r="387" spans="3:21" x14ac:dyDescent="0.25">
      <c r="C387" s="2" t="s">
        <v>113</v>
      </c>
      <c r="D387" s="2">
        <v>4</v>
      </c>
      <c r="E387" s="2" t="s">
        <v>14</v>
      </c>
      <c r="F387" s="2" t="s">
        <v>108</v>
      </c>
      <c r="G387" s="3">
        <v>7.06</v>
      </c>
      <c r="H387" s="3">
        <v>-5.28</v>
      </c>
      <c r="I387" s="3">
        <v>16.39</v>
      </c>
      <c r="J387" s="3">
        <v>4.8600000000000003</v>
      </c>
      <c r="K387" s="3">
        <v>19.079999999999998</v>
      </c>
      <c r="L387" s="21">
        <v>12.77</v>
      </c>
      <c r="M387" s="3">
        <v>1.62</v>
      </c>
      <c r="N387" s="2" t="s">
        <v>16</v>
      </c>
      <c r="O387" s="4" t="s">
        <v>17</v>
      </c>
      <c r="P387" s="18" t="s">
        <v>350</v>
      </c>
      <c r="Q387" s="5">
        <f t="shared" si="15"/>
        <v>16.096</v>
      </c>
      <c r="R387" s="5">
        <f t="shared" si="16"/>
        <v>8.8149999999999995</v>
      </c>
      <c r="S387" s="5">
        <f t="shared" si="16"/>
        <v>10.35</v>
      </c>
      <c r="T387" s="23">
        <f>('Investor-Inputs'!$G$19 * Q387) + ('Investor-Inputs'!$J$19 * R387) + ('Investor-Inputs'!$N$19 * S387)</f>
        <v>76.267999999999986</v>
      </c>
      <c r="U387" s="27">
        <f t="shared" si="17"/>
        <v>150</v>
      </c>
    </row>
    <row r="388" spans="3:21" x14ac:dyDescent="0.25">
      <c r="C388" s="2" t="s">
        <v>114</v>
      </c>
      <c r="D388" s="2">
        <v>5</v>
      </c>
      <c r="E388" s="2" t="s">
        <v>14</v>
      </c>
      <c r="F388" s="2" t="s">
        <v>108</v>
      </c>
      <c r="G388" s="3">
        <v>11.15</v>
      </c>
      <c r="H388" s="3">
        <v>5.39</v>
      </c>
      <c r="I388" s="3">
        <v>24.12</v>
      </c>
      <c r="J388" s="3">
        <v>12.68</v>
      </c>
      <c r="K388" s="3">
        <v>21.78</v>
      </c>
      <c r="L388" s="21">
        <v>17.54</v>
      </c>
      <c r="M388" s="3">
        <v>1.93</v>
      </c>
      <c r="N388" s="2" t="s">
        <v>16</v>
      </c>
      <c r="O388" s="4" t="s">
        <v>28</v>
      </c>
      <c r="P388" s="18" t="s">
        <v>350</v>
      </c>
      <c r="Q388" s="5">
        <f t="shared" si="15"/>
        <v>20.538000000000004</v>
      </c>
      <c r="R388" s="5">
        <f t="shared" si="16"/>
        <v>15.11</v>
      </c>
      <c r="S388" s="5">
        <f t="shared" si="16"/>
        <v>11.855</v>
      </c>
      <c r="T388" s="23">
        <f>('Investor-Inputs'!$G$19 * Q388) + ('Investor-Inputs'!$J$19 * R388) + ('Investor-Inputs'!$N$19 * S388)</f>
        <v>103.68900000000001</v>
      </c>
      <c r="U388" s="27">
        <f t="shared" si="17"/>
        <v>41</v>
      </c>
    </row>
    <row r="389" spans="3:21" x14ac:dyDescent="0.25">
      <c r="C389" s="2" t="s">
        <v>115</v>
      </c>
      <c r="D389" s="2">
        <v>4</v>
      </c>
      <c r="E389" s="2" t="s">
        <v>14</v>
      </c>
      <c r="F389" s="2" t="s">
        <v>108</v>
      </c>
      <c r="G389" s="3">
        <v>12.21</v>
      </c>
      <c r="H389" s="3">
        <v>10.35</v>
      </c>
      <c r="I389" s="3">
        <v>25.17</v>
      </c>
      <c r="J389" s="3">
        <v>13.49</v>
      </c>
      <c r="K389" s="3">
        <v>17.59</v>
      </c>
      <c r="L389" s="21">
        <v>17.59</v>
      </c>
      <c r="M389" s="3">
        <v>1.95</v>
      </c>
      <c r="N389" s="2" t="s">
        <v>16</v>
      </c>
      <c r="O389" s="4" t="s">
        <v>17</v>
      </c>
      <c r="P389" s="18" t="s">
        <v>350</v>
      </c>
      <c r="Q389" s="5">
        <f t="shared" si="15"/>
        <v>18.863</v>
      </c>
      <c r="R389" s="5">
        <f t="shared" si="16"/>
        <v>15.54</v>
      </c>
      <c r="S389" s="5">
        <f t="shared" si="16"/>
        <v>9.77</v>
      </c>
      <c r="T389" s="23">
        <f>('Investor-Inputs'!$G$19 * Q389) + ('Investor-Inputs'!$J$19 * R389) + ('Investor-Inputs'!$N$19 * S389)</f>
        <v>97.438999999999993</v>
      </c>
      <c r="U389" s="27">
        <f t="shared" si="17"/>
        <v>55</v>
      </c>
    </row>
    <row r="390" spans="3:21" x14ac:dyDescent="0.25">
      <c r="C390" s="2" t="s">
        <v>116</v>
      </c>
      <c r="D390" s="2">
        <v>4</v>
      </c>
      <c r="E390" s="2" t="s">
        <v>14</v>
      </c>
      <c r="F390" s="2" t="s">
        <v>108</v>
      </c>
      <c r="G390" s="3">
        <v>9.85</v>
      </c>
      <c r="H390" s="3">
        <v>7.03</v>
      </c>
      <c r="I390" s="3">
        <v>24.28</v>
      </c>
      <c r="J390" s="3">
        <v>10.96</v>
      </c>
      <c r="K390" s="2"/>
      <c r="L390" s="20"/>
      <c r="M390" s="3">
        <v>1.52</v>
      </c>
      <c r="N390" s="2" t="s">
        <v>16</v>
      </c>
      <c r="O390" s="4" t="s">
        <v>17</v>
      </c>
      <c r="P390" s="18" t="s">
        <v>350</v>
      </c>
      <c r="Q390" s="5">
        <f t="shared" si="15"/>
        <v>9.7120000000000015</v>
      </c>
      <c r="R390" s="5">
        <f t="shared" si="16"/>
        <v>5.48</v>
      </c>
      <c r="S390" s="5">
        <f t="shared" si="16"/>
        <v>0.76</v>
      </c>
      <c r="T390" s="23">
        <f>('Investor-Inputs'!$G$19 * Q390) + ('Investor-Inputs'!$J$19 * R390) + ('Investor-Inputs'!$N$19 * S390)</f>
        <v>40.856000000000002</v>
      </c>
      <c r="U390" s="27">
        <f t="shared" si="17"/>
        <v>315</v>
      </c>
    </row>
    <row r="391" spans="3:21" x14ac:dyDescent="0.25">
      <c r="C391" s="2" t="s">
        <v>117</v>
      </c>
      <c r="D391" s="2">
        <v>4</v>
      </c>
      <c r="E391" s="2" t="s">
        <v>14</v>
      </c>
      <c r="F391" s="2" t="s">
        <v>108</v>
      </c>
      <c r="G391" s="3">
        <v>13.69</v>
      </c>
      <c r="H391" s="3">
        <v>10.210000000000001</v>
      </c>
      <c r="I391" s="3">
        <v>24.06</v>
      </c>
      <c r="J391" s="3">
        <v>11.35</v>
      </c>
      <c r="K391" s="2"/>
      <c r="L391" s="20"/>
      <c r="M391" s="3">
        <v>2.96</v>
      </c>
      <c r="N391" s="2" t="s">
        <v>16</v>
      </c>
      <c r="O391" s="4" t="s">
        <v>17</v>
      </c>
      <c r="P391" s="18" t="s">
        <v>350</v>
      </c>
      <c r="Q391" s="5">
        <f t="shared" si="15"/>
        <v>9.6240000000000006</v>
      </c>
      <c r="R391" s="5">
        <f t="shared" si="16"/>
        <v>5.6749999999999998</v>
      </c>
      <c r="S391" s="5">
        <f t="shared" si="16"/>
        <v>1.48</v>
      </c>
      <c r="T391" s="23">
        <f>('Investor-Inputs'!$G$19 * Q391) + ('Investor-Inputs'!$J$19 * R391) + ('Investor-Inputs'!$N$19 * S391)</f>
        <v>41.701999999999998</v>
      </c>
      <c r="U391" s="27">
        <f t="shared" si="17"/>
        <v>309</v>
      </c>
    </row>
    <row r="392" spans="3:21" x14ac:dyDescent="0.25">
      <c r="C392" s="2" t="s">
        <v>118</v>
      </c>
      <c r="D392" s="2">
        <v>4</v>
      </c>
      <c r="E392" s="2" t="s">
        <v>14</v>
      </c>
      <c r="F392" s="2" t="s">
        <v>108</v>
      </c>
      <c r="G392" s="3">
        <v>10.36</v>
      </c>
      <c r="H392" s="3">
        <v>7.52</v>
      </c>
      <c r="I392" s="3">
        <v>21.1</v>
      </c>
      <c r="J392" s="3">
        <v>9.5500000000000007</v>
      </c>
      <c r="K392" s="3">
        <v>22.34</v>
      </c>
      <c r="L392" s="21">
        <v>16.63</v>
      </c>
      <c r="M392" s="3">
        <v>1.5</v>
      </c>
      <c r="N392" s="2" t="s">
        <v>16</v>
      </c>
      <c r="O392" s="4" t="s">
        <v>17</v>
      </c>
      <c r="P392" s="18" t="s">
        <v>350</v>
      </c>
      <c r="Q392" s="5">
        <f t="shared" ref="Q392:Q455" si="18">I392*0.4+K392*0.5</f>
        <v>19.61</v>
      </c>
      <c r="R392" s="5">
        <f t="shared" ref="R392:S455" si="19">(L392+J392)/2</f>
        <v>13.09</v>
      </c>
      <c r="S392" s="5">
        <f t="shared" si="19"/>
        <v>11.92</v>
      </c>
      <c r="T392" s="23">
        <f>('Investor-Inputs'!$G$19 * Q392) + ('Investor-Inputs'!$J$19 * R392) + ('Investor-Inputs'!$N$19 * S392)</f>
        <v>96.929999999999993</v>
      </c>
      <c r="U392" s="27">
        <f t="shared" ref="U392:U455" si="20">_xlfn.RANK.EQ(T392,$T$7:$T$592,0)</f>
        <v>57</v>
      </c>
    </row>
    <row r="393" spans="3:21" x14ac:dyDescent="0.25">
      <c r="C393" s="2" t="s">
        <v>119</v>
      </c>
      <c r="D393" s="2">
        <v>4</v>
      </c>
      <c r="E393" s="2" t="s">
        <v>14</v>
      </c>
      <c r="F393" s="2" t="s">
        <v>108</v>
      </c>
      <c r="G393" s="3">
        <v>8.43</v>
      </c>
      <c r="H393" s="3">
        <v>7.23</v>
      </c>
      <c r="I393" s="3">
        <v>20.13</v>
      </c>
      <c r="J393" s="3">
        <v>8.4600000000000009</v>
      </c>
      <c r="K393" s="3">
        <v>21.82</v>
      </c>
      <c r="L393" s="21">
        <v>15.83</v>
      </c>
      <c r="M393" s="3">
        <v>2.02</v>
      </c>
      <c r="N393" s="2" t="s">
        <v>16</v>
      </c>
      <c r="O393" s="4" t="s">
        <v>28</v>
      </c>
      <c r="P393" s="18" t="s">
        <v>350</v>
      </c>
      <c r="Q393" s="5">
        <f t="shared" si="18"/>
        <v>18.962</v>
      </c>
      <c r="R393" s="5">
        <f t="shared" si="19"/>
        <v>12.145</v>
      </c>
      <c r="S393" s="5">
        <f t="shared" si="19"/>
        <v>11.92</v>
      </c>
      <c r="T393" s="23">
        <f>('Investor-Inputs'!$G$19 * Q393) + ('Investor-Inputs'!$J$19 * R393) + ('Investor-Inputs'!$N$19 * S393)</f>
        <v>93.095999999999989</v>
      </c>
      <c r="U393" s="27">
        <f t="shared" si="20"/>
        <v>73</v>
      </c>
    </row>
    <row r="394" spans="3:21" x14ac:dyDescent="0.25">
      <c r="C394" s="2" t="s">
        <v>120</v>
      </c>
      <c r="D394" s="2">
        <v>4</v>
      </c>
      <c r="E394" s="2" t="s">
        <v>14</v>
      </c>
      <c r="F394" s="2" t="s">
        <v>108</v>
      </c>
      <c r="G394" s="3">
        <v>15.74</v>
      </c>
      <c r="H394" s="3">
        <v>12.23</v>
      </c>
      <c r="I394" s="3">
        <v>20.48</v>
      </c>
      <c r="J394" s="3">
        <v>11.42</v>
      </c>
      <c r="K394" s="3">
        <v>19.420000000000002</v>
      </c>
      <c r="L394" s="21">
        <v>15.46</v>
      </c>
      <c r="M394" s="3">
        <v>1.91</v>
      </c>
      <c r="N394" s="2" t="s">
        <v>16</v>
      </c>
      <c r="O394" s="4" t="s">
        <v>24</v>
      </c>
      <c r="P394" s="18" t="s">
        <v>350</v>
      </c>
      <c r="Q394" s="5">
        <f t="shared" si="18"/>
        <v>17.902000000000001</v>
      </c>
      <c r="R394" s="5">
        <f t="shared" si="19"/>
        <v>13.440000000000001</v>
      </c>
      <c r="S394" s="5">
        <f t="shared" si="19"/>
        <v>10.665000000000001</v>
      </c>
      <c r="T394" s="23">
        <f>('Investor-Inputs'!$G$19 * Q394) + ('Investor-Inputs'!$J$19 * R394) + ('Investor-Inputs'!$N$19 * S394)</f>
        <v>91.251000000000019</v>
      </c>
      <c r="U394" s="27">
        <f t="shared" si="20"/>
        <v>77</v>
      </c>
    </row>
    <row r="395" spans="3:21" x14ac:dyDescent="0.25">
      <c r="C395" s="2" t="s">
        <v>121</v>
      </c>
      <c r="D395" s="2">
        <v>4</v>
      </c>
      <c r="E395" s="2" t="s">
        <v>14</v>
      </c>
      <c r="F395" s="2" t="s">
        <v>122</v>
      </c>
      <c r="G395" s="3">
        <v>7.95</v>
      </c>
      <c r="H395" s="3">
        <v>2.57</v>
      </c>
      <c r="I395" s="3">
        <v>20.8</v>
      </c>
      <c r="J395" s="3">
        <v>10.98</v>
      </c>
      <c r="K395" s="2"/>
      <c r="L395" s="20"/>
      <c r="M395" s="3">
        <v>2.5499999999999998</v>
      </c>
      <c r="N395" s="2" t="s">
        <v>16</v>
      </c>
      <c r="O395" s="4" t="s">
        <v>17</v>
      </c>
      <c r="P395" s="18" t="s">
        <v>350</v>
      </c>
      <c r="Q395" s="5">
        <f t="shared" si="18"/>
        <v>8.32</v>
      </c>
      <c r="R395" s="5">
        <f t="shared" si="19"/>
        <v>5.49</v>
      </c>
      <c r="S395" s="5">
        <f t="shared" si="19"/>
        <v>1.2749999999999999</v>
      </c>
      <c r="T395" s="23">
        <f>('Investor-Inputs'!$G$19 * Q395) + ('Investor-Inputs'!$J$19 * R395) + ('Investor-Inputs'!$N$19 * S395)</f>
        <v>37.214999999999996</v>
      </c>
      <c r="U395" s="27">
        <f t="shared" si="20"/>
        <v>339</v>
      </c>
    </row>
    <row r="396" spans="3:21" x14ac:dyDescent="0.25">
      <c r="C396" s="2" t="s">
        <v>123</v>
      </c>
      <c r="D396" s="2">
        <v>4</v>
      </c>
      <c r="E396" s="2" t="s">
        <v>14</v>
      </c>
      <c r="F396" s="2" t="s">
        <v>122</v>
      </c>
      <c r="G396" s="3">
        <v>1.38</v>
      </c>
      <c r="H396" s="3">
        <v>-2.0099999999999998</v>
      </c>
      <c r="I396" s="3">
        <v>15.19</v>
      </c>
      <c r="J396" s="3">
        <v>5.58</v>
      </c>
      <c r="K396" s="3">
        <v>16.440000000000001</v>
      </c>
      <c r="L396" s="21">
        <v>11.3</v>
      </c>
      <c r="M396" s="3">
        <v>2.1</v>
      </c>
      <c r="N396" s="2" t="s">
        <v>16</v>
      </c>
      <c r="O396" s="4" t="s">
        <v>24</v>
      </c>
      <c r="P396" s="18" t="s">
        <v>350</v>
      </c>
      <c r="Q396" s="5">
        <f t="shared" si="18"/>
        <v>14.296000000000001</v>
      </c>
      <c r="R396" s="5">
        <f t="shared" si="19"/>
        <v>8.4400000000000013</v>
      </c>
      <c r="S396" s="5">
        <f t="shared" si="19"/>
        <v>9.2700000000000014</v>
      </c>
      <c r="T396" s="23">
        <f>('Investor-Inputs'!$G$19 * Q396) + ('Investor-Inputs'!$J$19 * R396) + ('Investor-Inputs'!$N$19 * S396)</f>
        <v>69.038000000000011</v>
      </c>
      <c r="U396" s="27">
        <f t="shared" si="20"/>
        <v>194</v>
      </c>
    </row>
    <row r="397" spans="3:21" x14ac:dyDescent="0.25">
      <c r="C397" s="2" t="s">
        <v>124</v>
      </c>
      <c r="D397" s="2">
        <v>5</v>
      </c>
      <c r="E397" s="2" t="s">
        <v>14</v>
      </c>
      <c r="F397" s="2" t="s">
        <v>122</v>
      </c>
      <c r="G397" s="3">
        <v>15.03</v>
      </c>
      <c r="H397" s="3">
        <v>10.36</v>
      </c>
      <c r="I397" s="3">
        <v>19.21</v>
      </c>
      <c r="J397" s="3">
        <v>13.9</v>
      </c>
      <c r="K397" s="3">
        <v>15.01</v>
      </c>
      <c r="L397" s="21">
        <v>15.12</v>
      </c>
      <c r="M397" s="3">
        <v>1.94</v>
      </c>
      <c r="N397" s="2" t="s">
        <v>16</v>
      </c>
      <c r="O397" s="4" t="s">
        <v>24</v>
      </c>
      <c r="P397" s="18" t="s">
        <v>350</v>
      </c>
      <c r="Q397" s="5">
        <f t="shared" si="18"/>
        <v>15.189</v>
      </c>
      <c r="R397" s="5">
        <f t="shared" si="19"/>
        <v>14.51</v>
      </c>
      <c r="S397" s="5">
        <f t="shared" si="19"/>
        <v>8.4749999999999996</v>
      </c>
      <c r="T397" s="23">
        <f>('Investor-Inputs'!$G$19 * Q397) + ('Investor-Inputs'!$J$19 * R397) + ('Investor-Inputs'!$N$19 * S397)</f>
        <v>83.061999999999998</v>
      </c>
      <c r="U397" s="27">
        <f t="shared" si="20"/>
        <v>116</v>
      </c>
    </row>
    <row r="398" spans="3:21" x14ac:dyDescent="0.25">
      <c r="C398" s="2" t="s">
        <v>125</v>
      </c>
      <c r="D398" s="2">
        <v>4</v>
      </c>
      <c r="E398" s="2" t="s">
        <v>14</v>
      </c>
      <c r="F398" s="2" t="s">
        <v>122</v>
      </c>
      <c r="G398" s="3">
        <v>10.09</v>
      </c>
      <c r="H398" s="3">
        <v>4.37</v>
      </c>
      <c r="I398" s="3">
        <v>21.67</v>
      </c>
      <c r="J398" s="3">
        <v>11.81</v>
      </c>
      <c r="K398" s="3">
        <v>19.47</v>
      </c>
      <c r="L398" s="21">
        <v>16.66</v>
      </c>
      <c r="M398" s="3">
        <v>1.71</v>
      </c>
      <c r="N398" s="2" t="s">
        <v>16</v>
      </c>
      <c r="O398" s="4" t="s">
        <v>28</v>
      </c>
      <c r="P398" s="18" t="s">
        <v>350</v>
      </c>
      <c r="Q398" s="5">
        <f t="shared" si="18"/>
        <v>18.402999999999999</v>
      </c>
      <c r="R398" s="5">
        <f t="shared" si="19"/>
        <v>14.234999999999999</v>
      </c>
      <c r="S398" s="5">
        <f t="shared" si="19"/>
        <v>10.59</v>
      </c>
      <c r="T398" s="23">
        <f>('Investor-Inputs'!$G$19 * Q398) + ('Investor-Inputs'!$J$19 * R398) + ('Investor-Inputs'!$N$19 * S398)</f>
        <v>94.269000000000005</v>
      </c>
      <c r="U398" s="27">
        <f t="shared" si="20"/>
        <v>59</v>
      </c>
    </row>
    <row r="399" spans="3:21" x14ac:dyDescent="0.25">
      <c r="C399" s="2" t="s">
        <v>126</v>
      </c>
      <c r="D399" s="2">
        <v>5</v>
      </c>
      <c r="E399" s="2" t="s">
        <v>14</v>
      </c>
      <c r="F399" s="2" t="s">
        <v>122</v>
      </c>
      <c r="G399" s="3">
        <v>2.1</v>
      </c>
      <c r="H399" s="3">
        <v>-4.21</v>
      </c>
      <c r="I399" s="3">
        <v>17.739999999999998</v>
      </c>
      <c r="J399" s="3">
        <v>8.6999999999999993</v>
      </c>
      <c r="K399" s="3">
        <v>18.510000000000002</v>
      </c>
      <c r="L399" s="21">
        <v>14.3</v>
      </c>
      <c r="M399" s="3">
        <v>2.99</v>
      </c>
      <c r="N399" s="2" t="s">
        <v>16</v>
      </c>
      <c r="O399" s="4" t="s">
        <v>17</v>
      </c>
      <c r="P399" s="18" t="s">
        <v>350</v>
      </c>
      <c r="Q399" s="5">
        <f t="shared" si="18"/>
        <v>16.350999999999999</v>
      </c>
      <c r="R399" s="5">
        <f t="shared" si="19"/>
        <v>11.5</v>
      </c>
      <c r="S399" s="5">
        <f t="shared" si="19"/>
        <v>10.75</v>
      </c>
      <c r="T399" s="23">
        <f>('Investor-Inputs'!$G$19 * Q399) + ('Investor-Inputs'!$J$19 * R399) + ('Investor-Inputs'!$N$19 * S399)</f>
        <v>82.802999999999997</v>
      </c>
      <c r="U399" s="27">
        <f t="shared" si="20"/>
        <v>120</v>
      </c>
    </row>
    <row r="400" spans="3:21" x14ac:dyDescent="0.25">
      <c r="C400" s="2" t="s">
        <v>127</v>
      </c>
      <c r="D400" s="2">
        <v>4</v>
      </c>
      <c r="E400" s="2" t="s">
        <v>14</v>
      </c>
      <c r="F400" s="2" t="s">
        <v>122</v>
      </c>
      <c r="G400" s="3">
        <v>5.61</v>
      </c>
      <c r="H400" s="3">
        <v>-1.69</v>
      </c>
      <c r="I400" s="3">
        <v>18.43</v>
      </c>
      <c r="J400" s="3">
        <v>8.5399999999999991</v>
      </c>
      <c r="K400" s="3">
        <v>16.43</v>
      </c>
      <c r="L400" s="21">
        <v>13.63</v>
      </c>
      <c r="M400" s="3">
        <v>2.6</v>
      </c>
      <c r="N400" s="2" t="s">
        <v>16</v>
      </c>
      <c r="O400" s="4" t="s">
        <v>24</v>
      </c>
      <c r="P400" s="18" t="s">
        <v>350</v>
      </c>
      <c r="Q400" s="5">
        <f t="shared" si="18"/>
        <v>15.587</v>
      </c>
      <c r="R400" s="5">
        <f t="shared" si="19"/>
        <v>11.085000000000001</v>
      </c>
      <c r="S400" s="5">
        <f t="shared" si="19"/>
        <v>9.5150000000000006</v>
      </c>
      <c r="T400" s="23">
        <f>('Investor-Inputs'!$G$19 * Q400) + ('Investor-Inputs'!$J$19 * R400) + ('Investor-Inputs'!$N$19 * S400)</f>
        <v>78.445999999999998</v>
      </c>
      <c r="U400" s="27">
        <f t="shared" si="20"/>
        <v>138</v>
      </c>
    </row>
    <row r="401" spans="3:21" x14ac:dyDescent="0.25">
      <c r="C401" s="2" t="s">
        <v>128</v>
      </c>
      <c r="D401" s="2">
        <v>5</v>
      </c>
      <c r="E401" s="2" t="s">
        <v>14</v>
      </c>
      <c r="F401" s="2" t="s">
        <v>122</v>
      </c>
      <c r="G401" s="3">
        <v>18.63</v>
      </c>
      <c r="H401" s="3">
        <v>14.41</v>
      </c>
      <c r="I401" s="3">
        <v>30.67</v>
      </c>
      <c r="J401" s="3">
        <v>18.850000000000001</v>
      </c>
      <c r="K401" s="2"/>
      <c r="L401" s="20"/>
      <c r="M401" s="3">
        <v>1.3</v>
      </c>
      <c r="N401" s="2" t="s">
        <v>16</v>
      </c>
      <c r="O401" s="4" t="s">
        <v>28</v>
      </c>
      <c r="P401" s="18" t="s">
        <v>350</v>
      </c>
      <c r="Q401" s="5">
        <f t="shared" si="18"/>
        <v>12.268000000000001</v>
      </c>
      <c r="R401" s="5">
        <f t="shared" si="19"/>
        <v>9.4250000000000007</v>
      </c>
      <c r="S401" s="5">
        <f t="shared" si="19"/>
        <v>0.65</v>
      </c>
      <c r="T401" s="23">
        <f>('Investor-Inputs'!$G$19 * Q401) + ('Investor-Inputs'!$J$19 * R401) + ('Investor-Inputs'!$N$19 * S401)</f>
        <v>56.304000000000002</v>
      </c>
      <c r="U401" s="27">
        <f t="shared" si="20"/>
        <v>254</v>
      </c>
    </row>
    <row r="402" spans="3:21" x14ac:dyDescent="0.25">
      <c r="C402" s="2" t="s">
        <v>129</v>
      </c>
      <c r="D402" s="2">
        <v>4</v>
      </c>
      <c r="E402" s="2" t="s">
        <v>14</v>
      </c>
      <c r="F402" s="2" t="s">
        <v>122</v>
      </c>
      <c r="G402" s="3">
        <v>3.74</v>
      </c>
      <c r="H402" s="3">
        <v>-0.32</v>
      </c>
      <c r="I402" s="3">
        <v>20.81</v>
      </c>
      <c r="J402" s="3">
        <v>9.3000000000000007</v>
      </c>
      <c r="K402" s="3">
        <v>18.079999999999998</v>
      </c>
      <c r="L402" s="21">
        <v>14.56</v>
      </c>
      <c r="M402" s="3">
        <v>2.3199999999999998</v>
      </c>
      <c r="N402" s="2" t="s">
        <v>16</v>
      </c>
      <c r="O402" s="4" t="s">
        <v>28</v>
      </c>
      <c r="P402" s="18" t="s">
        <v>350</v>
      </c>
      <c r="Q402" s="5">
        <f t="shared" si="18"/>
        <v>17.363999999999997</v>
      </c>
      <c r="R402" s="5">
        <f t="shared" si="19"/>
        <v>11.93</v>
      </c>
      <c r="S402" s="5">
        <f t="shared" si="19"/>
        <v>10.199999999999999</v>
      </c>
      <c r="T402" s="23">
        <f>('Investor-Inputs'!$G$19 * Q402) + ('Investor-Inputs'!$J$19 * R402) + ('Investor-Inputs'!$N$19 * S402)</f>
        <v>86.152000000000001</v>
      </c>
      <c r="U402" s="27">
        <f t="shared" si="20"/>
        <v>104</v>
      </c>
    </row>
    <row r="403" spans="3:21" x14ac:dyDescent="0.25">
      <c r="C403" s="2" t="s">
        <v>130</v>
      </c>
      <c r="D403" s="2">
        <v>5</v>
      </c>
      <c r="E403" s="2" t="s">
        <v>14</v>
      </c>
      <c r="F403" s="2" t="s">
        <v>122</v>
      </c>
      <c r="G403" s="3">
        <v>0.88</v>
      </c>
      <c r="H403" s="3">
        <v>-4.16</v>
      </c>
      <c r="I403" s="3">
        <v>16.399999999999999</v>
      </c>
      <c r="J403" s="3">
        <v>6.07</v>
      </c>
      <c r="K403" s="3">
        <v>19.22</v>
      </c>
      <c r="L403" s="21">
        <v>13.41</v>
      </c>
      <c r="M403" s="3">
        <v>1.48</v>
      </c>
      <c r="N403" s="2" t="s">
        <v>16</v>
      </c>
      <c r="O403" s="4" t="s">
        <v>17</v>
      </c>
      <c r="P403" s="18" t="s">
        <v>350</v>
      </c>
      <c r="Q403" s="5">
        <f t="shared" si="18"/>
        <v>16.169999999999998</v>
      </c>
      <c r="R403" s="5">
        <f t="shared" si="19"/>
        <v>9.74</v>
      </c>
      <c r="S403" s="5">
        <f t="shared" si="19"/>
        <v>10.35</v>
      </c>
      <c r="T403" s="23">
        <f>('Investor-Inputs'!$G$19 * Q403) + ('Investor-Inputs'!$J$19 * R403) + ('Investor-Inputs'!$N$19 * S403)</f>
        <v>78.339999999999989</v>
      </c>
      <c r="U403" s="27">
        <f t="shared" si="20"/>
        <v>140</v>
      </c>
    </row>
    <row r="404" spans="3:21" x14ac:dyDescent="0.25">
      <c r="C404" s="2" t="s">
        <v>131</v>
      </c>
      <c r="D404" s="2">
        <v>4</v>
      </c>
      <c r="E404" s="2" t="s">
        <v>14</v>
      </c>
      <c r="F404" s="2" t="s">
        <v>132</v>
      </c>
      <c r="G404" s="3">
        <v>3.14</v>
      </c>
      <c r="H404" s="3">
        <v>-0.96</v>
      </c>
      <c r="I404" s="3">
        <v>13.9</v>
      </c>
      <c r="J404" s="3">
        <v>5.6</v>
      </c>
      <c r="K404" s="3">
        <v>14.19</v>
      </c>
      <c r="L404" s="21">
        <v>10.15</v>
      </c>
      <c r="M404" s="3">
        <v>2.12</v>
      </c>
      <c r="N404" s="2" t="s">
        <v>16</v>
      </c>
      <c r="O404" s="4" t="s">
        <v>24</v>
      </c>
      <c r="P404" s="18" t="s">
        <v>350</v>
      </c>
      <c r="Q404" s="5">
        <f t="shared" si="18"/>
        <v>12.655000000000001</v>
      </c>
      <c r="R404" s="5">
        <f t="shared" si="19"/>
        <v>7.875</v>
      </c>
      <c r="S404" s="5">
        <f t="shared" si="19"/>
        <v>8.1549999999999994</v>
      </c>
      <c r="T404" s="23">
        <f>('Investor-Inputs'!$G$19 * Q404) + ('Investor-Inputs'!$J$19 * R404) + ('Investor-Inputs'!$N$19 * S404)</f>
        <v>61.870000000000005</v>
      </c>
      <c r="U404" s="27">
        <f t="shared" si="20"/>
        <v>228</v>
      </c>
    </row>
    <row r="405" spans="3:21" x14ac:dyDescent="0.25">
      <c r="C405" s="2" t="s">
        <v>133</v>
      </c>
      <c r="D405" s="2">
        <v>4</v>
      </c>
      <c r="E405" s="2" t="s">
        <v>14</v>
      </c>
      <c r="F405" s="2" t="s">
        <v>132</v>
      </c>
      <c r="G405" s="3">
        <v>6.36</v>
      </c>
      <c r="H405" s="3">
        <v>2.29</v>
      </c>
      <c r="I405" s="3">
        <v>18.010000000000002</v>
      </c>
      <c r="J405" s="3">
        <v>9.65</v>
      </c>
      <c r="K405" s="3">
        <v>14.12</v>
      </c>
      <c r="L405" s="21">
        <v>12.4</v>
      </c>
      <c r="M405" s="3">
        <v>2.31</v>
      </c>
      <c r="N405" s="2" t="s">
        <v>16</v>
      </c>
      <c r="O405" s="4" t="s">
        <v>17</v>
      </c>
      <c r="P405" s="18" t="s">
        <v>350</v>
      </c>
      <c r="Q405" s="5">
        <f t="shared" si="18"/>
        <v>14.263999999999999</v>
      </c>
      <c r="R405" s="5">
        <f t="shared" si="19"/>
        <v>11.025</v>
      </c>
      <c r="S405" s="5">
        <f t="shared" si="19"/>
        <v>8.2149999999999999</v>
      </c>
      <c r="T405" s="23">
        <f>('Investor-Inputs'!$G$19 * Q405) + ('Investor-Inputs'!$J$19 * R405) + ('Investor-Inputs'!$N$19 * S405)</f>
        <v>73.057000000000002</v>
      </c>
      <c r="U405" s="27">
        <f t="shared" si="20"/>
        <v>176</v>
      </c>
    </row>
    <row r="406" spans="3:21" x14ac:dyDescent="0.25">
      <c r="C406" s="2" t="s">
        <v>134</v>
      </c>
      <c r="D406" s="2">
        <v>4</v>
      </c>
      <c r="E406" s="2" t="s">
        <v>14</v>
      </c>
      <c r="F406" s="2" t="s">
        <v>132</v>
      </c>
      <c r="G406" s="3">
        <v>0.61</v>
      </c>
      <c r="H406" s="3">
        <v>-4.0999999999999996</v>
      </c>
      <c r="I406" s="3">
        <v>17.86</v>
      </c>
      <c r="J406" s="3">
        <v>8.02</v>
      </c>
      <c r="K406" s="3">
        <v>15.3</v>
      </c>
      <c r="L406" s="21">
        <v>12.36</v>
      </c>
      <c r="M406" s="3">
        <v>1.81</v>
      </c>
      <c r="N406" s="2" t="s">
        <v>16</v>
      </c>
      <c r="O406" s="4" t="s">
        <v>17</v>
      </c>
      <c r="P406" s="18" t="s">
        <v>350</v>
      </c>
      <c r="Q406" s="5">
        <f t="shared" si="18"/>
        <v>14.794</v>
      </c>
      <c r="R406" s="5">
        <f t="shared" si="19"/>
        <v>10.19</v>
      </c>
      <c r="S406" s="5">
        <f t="shared" si="19"/>
        <v>8.5549999999999997</v>
      </c>
      <c r="T406" s="23">
        <f>('Investor-Inputs'!$G$19 * Q406) + ('Investor-Inputs'!$J$19 * R406) + ('Investor-Inputs'!$N$19 * S406)</f>
        <v>73.317000000000007</v>
      </c>
      <c r="U406" s="27">
        <f t="shared" si="20"/>
        <v>174</v>
      </c>
    </row>
    <row r="407" spans="3:21" x14ac:dyDescent="0.25">
      <c r="C407" s="2" t="s">
        <v>135</v>
      </c>
      <c r="D407" s="2">
        <v>4</v>
      </c>
      <c r="E407" s="2" t="s">
        <v>14</v>
      </c>
      <c r="F407" s="2" t="s">
        <v>132</v>
      </c>
      <c r="G407" s="3">
        <v>-2.77</v>
      </c>
      <c r="H407" s="3">
        <v>-7.99</v>
      </c>
      <c r="I407" s="3">
        <v>15.53</v>
      </c>
      <c r="J407" s="3">
        <v>4.93</v>
      </c>
      <c r="K407" s="3">
        <v>14.72</v>
      </c>
      <c r="L407" s="21">
        <v>10.67</v>
      </c>
      <c r="M407" s="3">
        <v>1.83</v>
      </c>
      <c r="N407" s="2" t="s">
        <v>16</v>
      </c>
      <c r="O407" s="4" t="s">
        <v>24</v>
      </c>
      <c r="P407" s="18" t="s">
        <v>350</v>
      </c>
      <c r="Q407" s="5">
        <f t="shared" si="18"/>
        <v>13.571999999999999</v>
      </c>
      <c r="R407" s="5">
        <f t="shared" si="19"/>
        <v>7.8</v>
      </c>
      <c r="S407" s="5">
        <f t="shared" si="19"/>
        <v>8.2750000000000004</v>
      </c>
      <c r="T407" s="23">
        <f>('Investor-Inputs'!$G$19 * Q407) + ('Investor-Inputs'!$J$19 * R407) + ('Investor-Inputs'!$N$19 * S407)</f>
        <v>64.590999999999994</v>
      </c>
      <c r="U407" s="27">
        <f t="shared" si="20"/>
        <v>208</v>
      </c>
    </row>
    <row r="408" spans="3:21" x14ac:dyDescent="0.25">
      <c r="C408" s="2" t="s">
        <v>136</v>
      </c>
      <c r="D408" s="2">
        <v>5</v>
      </c>
      <c r="E408" s="2" t="s">
        <v>14</v>
      </c>
      <c r="F408" s="2" t="s">
        <v>132</v>
      </c>
      <c r="G408" s="3">
        <v>-2.14</v>
      </c>
      <c r="H408" s="3">
        <v>-8.99</v>
      </c>
      <c r="I408" s="3">
        <v>17.36</v>
      </c>
      <c r="J408" s="3">
        <v>7</v>
      </c>
      <c r="K408" s="3">
        <v>17.97</v>
      </c>
      <c r="L408" s="21">
        <v>13.3</v>
      </c>
      <c r="M408" s="3">
        <v>1.69</v>
      </c>
      <c r="N408" s="2" t="s">
        <v>16</v>
      </c>
      <c r="O408" s="4" t="s">
        <v>17</v>
      </c>
      <c r="P408" s="18" t="s">
        <v>350</v>
      </c>
      <c r="Q408" s="5">
        <f t="shared" si="18"/>
        <v>15.928999999999998</v>
      </c>
      <c r="R408" s="5">
        <f t="shared" si="19"/>
        <v>10.15</v>
      </c>
      <c r="S408" s="5">
        <f t="shared" si="19"/>
        <v>9.83</v>
      </c>
      <c r="T408" s="23">
        <f>('Investor-Inputs'!$G$19 * Q408) + ('Investor-Inputs'!$J$19 * R408) + ('Investor-Inputs'!$N$19 * S408)</f>
        <v>77.916999999999987</v>
      </c>
      <c r="U408" s="27">
        <f t="shared" si="20"/>
        <v>146</v>
      </c>
    </row>
    <row r="409" spans="3:21" x14ac:dyDescent="0.25">
      <c r="C409" s="2" t="s">
        <v>137</v>
      </c>
      <c r="D409" s="2">
        <v>4</v>
      </c>
      <c r="E409" s="2" t="s">
        <v>14</v>
      </c>
      <c r="F409" s="2" t="s">
        <v>132</v>
      </c>
      <c r="G409" s="3">
        <v>6.74</v>
      </c>
      <c r="H409" s="3">
        <v>0.87</v>
      </c>
      <c r="I409" s="3">
        <v>18.21</v>
      </c>
      <c r="J409" s="3">
        <v>9.58</v>
      </c>
      <c r="K409" s="3">
        <v>14.59</v>
      </c>
      <c r="L409" s="21">
        <v>13.03</v>
      </c>
      <c r="M409" s="3">
        <v>2.06</v>
      </c>
      <c r="N409" s="2" t="s">
        <v>16</v>
      </c>
      <c r="O409" s="4" t="s">
        <v>17</v>
      </c>
      <c r="P409" s="18" t="s">
        <v>350</v>
      </c>
      <c r="Q409" s="5">
        <f t="shared" si="18"/>
        <v>14.579000000000001</v>
      </c>
      <c r="R409" s="5">
        <f t="shared" si="19"/>
        <v>11.305</v>
      </c>
      <c r="S409" s="5">
        <f t="shared" si="19"/>
        <v>8.3249999999999993</v>
      </c>
      <c r="T409" s="23">
        <f>('Investor-Inputs'!$G$19 * Q409) + ('Investor-Inputs'!$J$19 * R409) + ('Investor-Inputs'!$N$19 * S409)</f>
        <v>74.672000000000011</v>
      </c>
      <c r="U409" s="27">
        <f t="shared" si="20"/>
        <v>164</v>
      </c>
    </row>
    <row r="410" spans="3:21" x14ac:dyDescent="0.25">
      <c r="C410" s="2" t="s">
        <v>138</v>
      </c>
      <c r="D410" s="2">
        <v>4</v>
      </c>
      <c r="E410" s="2" t="s">
        <v>14</v>
      </c>
      <c r="F410" s="2" t="s">
        <v>132</v>
      </c>
      <c r="G410" s="3">
        <v>4.49</v>
      </c>
      <c r="H410" s="3">
        <v>-1.56</v>
      </c>
      <c r="I410" s="3">
        <v>17.850000000000001</v>
      </c>
      <c r="J410" s="3">
        <v>7.12</v>
      </c>
      <c r="K410" s="3">
        <v>15.37</v>
      </c>
      <c r="L410" s="21">
        <v>12.17</v>
      </c>
      <c r="M410" s="3">
        <v>2.58</v>
      </c>
      <c r="N410" s="2" t="s">
        <v>16</v>
      </c>
      <c r="O410" s="4" t="s">
        <v>17</v>
      </c>
      <c r="P410" s="18" t="s">
        <v>350</v>
      </c>
      <c r="Q410" s="5">
        <f t="shared" si="18"/>
        <v>14.824999999999999</v>
      </c>
      <c r="R410" s="5">
        <f t="shared" si="19"/>
        <v>9.6449999999999996</v>
      </c>
      <c r="S410" s="5">
        <f t="shared" si="19"/>
        <v>8.9749999999999996</v>
      </c>
      <c r="T410" s="23">
        <f>('Investor-Inputs'!$G$19 * Q410) + ('Investor-Inputs'!$J$19 * R410) + ('Investor-Inputs'!$N$19 * S410)</f>
        <v>72.739999999999995</v>
      </c>
      <c r="U410" s="27">
        <f t="shared" si="20"/>
        <v>180</v>
      </c>
    </row>
    <row r="411" spans="3:21" x14ac:dyDescent="0.25">
      <c r="C411" s="2" t="s">
        <v>139</v>
      </c>
      <c r="D411" s="2">
        <v>5</v>
      </c>
      <c r="E411" s="2" t="s">
        <v>14</v>
      </c>
      <c r="F411" s="2" t="s">
        <v>132</v>
      </c>
      <c r="G411" s="3">
        <v>15.5</v>
      </c>
      <c r="H411" s="3">
        <v>13.38</v>
      </c>
      <c r="I411" s="3">
        <v>24.83</v>
      </c>
      <c r="J411" s="3">
        <v>15.29</v>
      </c>
      <c r="K411" s="3">
        <v>19.41</v>
      </c>
      <c r="L411" s="21">
        <v>18.43</v>
      </c>
      <c r="M411" s="3">
        <v>1.99</v>
      </c>
      <c r="N411" s="2" t="s">
        <v>16</v>
      </c>
      <c r="O411" s="4" t="s">
        <v>28</v>
      </c>
      <c r="P411" s="18" t="s">
        <v>350</v>
      </c>
      <c r="Q411" s="5">
        <f t="shared" si="18"/>
        <v>19.637</v>
      </c>
      <c r="R411" s="5">
        <f t="shared" si="19"/>
        <v>16.86</v>
      </c>
      <c r="S411" s="5">
        <f t="shared" si="19"/>
        <v>10.7</v>
      </c>
      <c r="T411" s="23">
        <f>('Investor-Inputs'!$G$19 * Q411) + ('Investor-Inputs'!$J$19 * R411) + ('Investor-Inputs'!$N$19 * S411)</f>
        <v>103.331</v>
      </c>
      <c r="U411" s="27">
        <f t="shared" si="20"/>
        <v>43</v>
      </c>
    </row>
    <row r="412" spans="3:21" x14ac:dyDescent="0.25">
      <c r="C412" s="2" t="s">
        <v>140</v>
      </c>
      <c r="D412" s="2">
        <v>4</v>
      </c>
      <c r="E412" s="2" t="s">
        <v>14</v>
      </c>
      <c r="F412" s="2" t="s">
        <v>132</v>
      </c>
      <c r="G412" s="3">
        <v>5.57</v>
      </c>
      <c r="H412" s="3">
        <v>1.93</v>
      </c>
      <c r="I412" s="3">
        <v>17.239999999999998</v>
      </c>
      <c r="J412" s="3">
        <v>8.76</v>
      </c>
      <c r="K412" s="3">
        <v>15.46</v>
      </c>
      <c r="L412" s="21">
        <v>12.52</v>
      </c>
      <c r="M412" s="3">
        <v>1.88</v>
      </c>
      <c r="N412" s="2" t="s">
        <v>16</v>
      </c>
      <c r="O412" s="4" t="s">
        <v>17</v>
      </c>
      <c r="P412" s="18" t="s">
        <v>350</v>
      </c>
      <c r="Q412" s="5">
        <f t="shared" si="18"/>
        <v>14.626000000000001</v>
      </c>
      <c r="R412" s="5">
        <f t="shared" si="19"/>
        <v>10.64</v>
      </c>
      <c r="S412" s="5">
        <f t="shared" si="19"/>
        <v>8.67</v>
      </c>
      <c r="T412" s="23">
        <f>('Investor-Inputs'!$G$19 * Q412) + ('Investor-Inputs'!$J$19 * R412) + ('Investor-Inputs'!$N$19 * S412)</f>
        <v>73.828000000000003</v>
      </c>
      <c r="U412" s="27">
        <f t="shared" si="20"/>
        <v>170</v>
      </c>
    </row>
    <row r="413" spans="3:21" x14ac:dyDescent="0.25">
      <c r="C413" s="2" t="s">
        <v>141</v>
      </c>
      <c r="D413" s="2">
        <v>5</v>
      </c>
      <c r="E413" s="2" t="s">
        <v>14</v>
      </c>
      <c r="F413" s="2" t="s">
        <v>132</v>
      </c>
      <c r="G413" s="3">
        <v>-3.56</v>
      </c>
      <c r="H413" s="3">
        <v>-9.66</v>
      </c>
      <c r="I413" s="3">
        <v>12.72</v>
      </c>
      <c r="J413" s="3">
        <v>4.3</v>
      </c>
      <c r="K413" s="3">
        <v>14.65</v>
      </c>
      <c r="L413" s="21">
        <v>9.91</v>
      </c>
      <c r="M413" s="3">
        <v>1.79</v>
      </c>
      <c r="N413" s="2" t="s">
        <v>16</v>
      </c>
      <c r="O413" s="4" t="s">
        <v>24</v>
      </c>
      <c r="P413" s="18" t="s">
        <v>350</v>
      </c>
      <c r="Q413" s="5">
        <f t="shared" si="18"/>
        <v>12.413</v>
      </c>
      <c r="R413" s="5">
        <f t="shared" si="19"/>
        <v>7.1050000000000004</v>
      </c>
      <c r="S413" s="5">
        <f t="shared" si="19"/>
        <v>8.2200000000000006</v>
      </c>
      <c r="T413" s="23">
        <f>('Investor-Inputs'!$G$19 * Q413) + ('Investor-Inputs'!$J$19 * R413) + ('Investor-Inputs'!$N$19 * S413)</f>
        <v>59.669000000000004</v>
      </c>
      <c r="U413" s="27">
        <f t="shared" si="20"/>
        <v>242</v>
      </c>
    </row>
    <row r="414" spans="3:21" x14ac:dyDescent="0.25">
      <c r="C414" s="2" t="s">
        <v>142</v>
      </c>
      <c r="D414" s="2">
        <v>4</v>
      </c>
      <c r="E414" s="2" t="s">
        <v>14</v>
      </c>
      <c r="F414" s="2" t="s">
        <v>132</v>
      </c>
      <c r="G414" s="3">
        <v>-3.15</v>
      </c>
      <c r="H414" s="3">
        <v>-8.5399999999999991</v>
      </c>
      <c r="I414" s="3">
        <v>14.05</v>
      </c>
      <c r="J414" s="3">
        <v>4.1100000000000003</v>
      </c>
      <c r="K414" s="3">
        <v>12.16</v>
      </c>
      <c r="L414" s="21">
        <v>9.3000000000000007</v>
      </c>
      <c r="M414" s="3">
        <v>2.1</v>
      </c>
      <c r="N414" s="2" t="s">
        <v>16</v>
      </c>
      <c r="O414" s="4" t="s">
        <v>24</v>
      </c>
      <c r="P414" s="18" t="s">
        <v>350</v>
      </c>
      <c r="Q414" s="5">
        <f t="shared" si="18"/>
        <v>11.700000000000001</v>
      </c>
      <c r="R414" s="5">
        <f t="shared" si="19"/>
        <v>6.7050000000000001</v>
      </c>
      <c r="S414" s="5">
        <f t="shared" si="19"/>
        <v>7.13</v>
      </c>
      <c r="T414" s="23">
        <f>('Investor-Inputs'!$G$19 * Q414) + ('Investor-Inputs'!$J$19 * R414) + ('Investor-Inputs'!$N$19 * S414)</f>
        <v>55.640000000000008</v>
      </c>
      <c r="U414" s="27">
        <f t="shared" si="20"/>
        <v>260</v>
      </c>
    </row>
    <row r="415" spans="3:21" x14ac:dyDescent="0.25">
      <c r="C415" s="2" t="s">
        <v>143</v>
      </c>
      <c r="D415" s="2">
        <v>5</v>
      </c>
      <c r="E415" s="2" t="s">
        <v>14</v>
      </c>
      <c r="F415" s="2" t="s">
        <v>132</v>
      </c>
      <c r="G415" s="3">
        <v>2.2000000000000002</v>
      </c>
      <c r="H415" s="3">
        <v>-2.81</v>
      </c>
      <c r="I415" s="3">
        <v>20.64</v>
      </c>
      <c r="J415" s="3">
        <v>8.86</v>
      </c>
      <c r="K415" s="3"/>
      <c r="L415" s="21"/>
      <c r="M415" s="3">
        <v>1.62</v>
      </c>
      <c r="N415" s="2" t="s">
        <v>16</v>
      </c>
      <c r="O415" s="4" t="s">
        <v>28</v>
      </c>
      <c r="P415" s="18" t="s">
        <v>350</v>
      </c>
      <c r="Q415" s="5">
        <f t="shared" si="18"/>
        <v>8.2560000000000002</v>
      </c>
      <c r="R415" s="5">
        <f t="shared" si="19"/>
        <v>4.43</v>
      </c>
      <c r="S415" s="5">
        <f t="shared" si="19"/>
        <v>0.81</v>
      </c>
      <c r="T415" s="23">
        <f>('Investor-Inputs'!$G$19 * Q415) + ('Investor-Inputs'!$J$19 * R415) + ('Investor-Inputs'!$N$19 * S415)</f>
        <v>34.438000000000002</v>
      </c>
      <c r="U415" s="27">
        <f t="shared" si="20"/>
        <v>411</v>
      </c>
    </row>
    <row r="416" spans="3:21" x14ac:dyDescent="0.25">
      <c r="C416" s="2" t="s">
        <v>144</v>
      </c>
      <c r="D416" s="2">
        <v>5</v>
      </c>
      <c r="E416" s="2" t="s">
        <v>14</v>
      </c>
      <c r="F416" s="2" t="s">
        <v>132</v>
      </c>
      <c r="G416" s="3">
        <v>2.7</v>
      </c>
      <c r="H416" s="3">
        <v>-3.52</v>
      </c>
      <c r="I416" s="3">
        <v>18.48</v>
      </c>
      <c r="J416" s="3">
        <v>8.5500000000000007</v>
      </c>
      <c r="K416" s="2"/>
      <c r="L416" s="20"/>
      <c r="M416" s="3">
        <v>2.66</v>
      </c>
      <c r="N416" s="2" t="s">
        <v>16</v>
      </c>
      <c r="O416" s="4" t="s">
        <v>28</v>
      </c>
      <c r="P416" s="18" t="s">
        <v>350</v>
      </c>
      <c r="Q416" s="5">
        <f t="shared" si="18"/>
        <v>7.3920000000000003</v>
      </c>
      <c r="R416" s="5">
        <f t="shared" si="19"/>
        <v>4.2750000000000004</v>
      </c>
      <c r="S416" s="5">
        <f t="shared" si="19"/>
        <v>1.33</v>
      </c>
      <c r="T416" s="23">
        <f>('Investor-Inputs'!$G$19 * Q416) + ('Investor-Inputs'!$J$19 * R416) + ('Investor-Inputs'!$N$19 * S416)</f>
        <v>32.056000000000004</v>
      </c>
      <c r="U416" s="27">
        <f t="shared" si="20"/>
        <v>502</v>
      </c>
    </row>
    <row r="417" spans="3:21" x14ac:dyDescent="0.25">
      <c r="C417" s="2" t="s">
        <v>145</v>
      </c>
      <c r="D417" s="2">
        <v>5</v>
      </c>
      <c r="E417" s="2" t="s">
        <v>14</v>
      </c>
      <c r="F417" s="2" t="s">
        <v>146</v>
      </c>
      <c r="G417" s="3">
        <v>8.19</v>
      </c>
      <c r="H417" s="3">
        <v>2.93</v>
      </c>
      <c r="I417" s="3">
        <v>19.11</v>
      </c>
      <c r="J417" s="3">
        <v>12.64</v>
      </c>
      <c r="K417" s="3">
        <v>15.98</v>
      </c>
      <c r="L417" s="21">
        <v>15.19</v>
      </c>
      <c r="M417" s="3">
        <v>2.0699999999999998</v>
      </c>
      <c r="N417" s="2" t="s">
        <v>16</v>
      </c>
      <c r="O417" s="4" t="s">
        <v>28</v>
      </c>
      <c r="P417" s="18" t="s">
        <v>350</v>
      </c>
      <c r="Q417" s="5">
        <f t="shared" si="18"/>
        <v>15.634</v>
      </c>
      <c r="R417" s="5">
        <f t="shared" si="19"/>
        <v>13.914999999999999</v>
      </c>
      <c r="S417" s="5">
        <f t="shared" si="19"/>
        <v>9.0250000000000004</v>
      </c>
      <c r="T417" s="23">
        <f>('Investor-Inputs'!$G$19 * Q417) + ('Investor-Inputs'!$J$19 * R417) + ('Investor-Inputs'!$N$19 * S417)</f>
        <v>83.757000000000005</v>
      </c>
      <c r="U417" s="27">
        <f t="shared" si="20"/>
        <v>114</v>
      </c>
    </row>
    <row r="418" spans="3:21" x14ac:dyDescent="0.25">
      <c r="C418" s="2" t="s">
        <v>147</v>
      </c>
      <c r="D418" s="2">
        <v>4</v>
      </c>
      <c r="E418" s="2" t="s">
        <v>14</v>
      </c>
      <c r="F418" s="2" t="s">
        <v>146</v>
      </c>
      <c r="G418" s="3">
        <v>7.33</v>
      </c>
      <c r="H418" s="3">
        <v>-1.24</v>
      </c>
      <c r="I418" s="3">
        <v>19.38</v>
      </c>
      <c r="J418" s="3">
        <v>10.02</v>
      </c>
      <c r="K418" s="2"/>
      <c r="L418" s="20"/>
      <c r="M418" s="3">
        <v>1.31</v>
      </c>
      <c r="N418" s="2" t="s">
        <v>16</v>
      </c>
      <c r="O418" s="4" t="s">
        <v>28</v>
      </c>
      <c r="P418" s="18" t="s">
        <v>350</v>
      </c>
      <c r="Q418" s="5">
        <f t="shared" si="18"/>
        <v>7.7519999999999998</v>
      </c>
      <c r="R418" s="5">
        <f t="shared" si="19"/>
        <v>5.01</v>
      </c>
      <c r="S418" s="5">
        <f t="shared" si="19"/>
        <v>0.65500000000000003</v>
      </c>
      <c r="T418" s="23">
        <f>('Investor-Inputs'!$G$19 * Q418) + ('Investor-Inputs'!$J$19 * R418) + ('Investor-Inputs'!$N$19 * S418)</f>
        <v>33.930999999999997</v>
      </c>
      <c r="U418" s="27">
        <f t="shared" si="20"/>
        <v>434</v>
      </c>
    </row>
    <row r="419" spans="3:21" x14ac:dyDescent="0.25">
      <c r="C419" s="2" t="s">
        <v>148</v>
      </c>
      <c r="D419" s="2">
        <v>4</v>
      </c>
      <c r="E419" s="2" t="s">
        <v>14</v>
      </c>
      <c r="F419" s="2" t="s">
        <v>146</v>
      </c>
      <c r="G419" s="3">
        <v>2.0499999999999998</v>
      </c>
      <c r="H419" s="3">
        <v>-2.4700000000000002</v>
      </c>
      <c r="I419" s="3">
        <v>15.47</v>
      </c>
      <c r="J419" s="3">
        <v>8.75</v>
      </c>
      <c r="K419" s="3">
        <v>16.440000000000001</v>
      </c>
      <c r="L419" s="21">
        <v>12.83</v>
      </c>
      <c r="M419" s="3">
        <v>1.79</v>
      </c>
      <c r="N419" s="2" t="s">
        <v>16</v>
      </c>
      <c r="O419" s="4" t="s">
        <v>17</v>
      </c>
      <c r="P419" s="18" t="s">
        <v>350</v>
      </c>
      <c r="Q419" s="5">
        <f t="shared" si="18"/>
        <v>14.408000000000001</v>
      </c>
      <c r="R419" s="5">
        <f t="shared" si="19"/>
        <v>10.79</v>
      </c>
      <c r="S419" s="5">
        <f t="shared" si="19"/>
        <v>9.1150000000000002</v>
      </c>
      <c r="T419" s="23">
        <f>('Investor-Inputs'!$G$19 * Q419) + ('Investor-Inputs'!$J$19 * R419) + ('Investor-Inputs'!$N$19 * S419)</f>
        <v>73.918999999999997</v>
      </c>
      <c r="U419" s="27">
        <f t="shared" si="20"/>
        <v>168</v>
      </c>
    </row>
    <row r="420" spans="3:21" x14ac:dyDescent="0.25">
      <c r="C420" s="2" t="s">
        <v>149</v>
      </c>
      <c r="D420" s="2">
        <v>4</v>
      </c>
      <c r="E420" s="2" t="s">
        <v>14</v>
      </c>
      <c r="F420" s="2" t="s">
        <v>146</v>
      </c>
      <c r="G420" s="3">
        <v>5.93</v>
      </c>
      <c r="H420" s="3">
        <v>-1.51</v>
      </c>
      <c r="I420" s="3">
        <v>17.559999999999999</v>
      </c>
      <c r="J420" s="3">
        <v>11.94</v>
      </c>
      <c r="K420" s="3">
        <v>14.01</v>
      </c>
      <c r="L420" s="21">
        <v>13.86</v>
      </c>
      <c r="M420" s="3">
        <v>2.02</v>
      </c>
      <c r="N420" s="2" t="s">
        <v>16</v>
      </c>
      <c r="O420" s="4" t="s">
        <v>17</v>
      </c>
      <c r="P420" s="18" t="s">
        <v>350</v>
      </c>
      <c r="Q420" s="5">
        <f t="shared" si="18"/>
        <v>14.029</v>
      </c>
      <c r="R420" s="5">
        <f t="shared" si="19"/>
        <v>12.899999999999999</v>
      </c>
      <c r="S420" s="5">
        <f t="shared" si="19"/>
        <v>8.0150000000000006</v>
      </c>
      <c r="T420" s="23">
        <f>('Investor-Inputs'!$G$19 * Q420) + ('Investor-Inputs'!$J$19 * R420) + ('Investor-Inputs'!$N$19 * S420)</f>
        <v>75.902000000000001</v>
      </c>
      <c r="U420" s="27">
        <f t="shared" si="20"/>
        <v>154</v>
      </c>
    </row>
    <row r="421" spans="3:21" x14ac:dyDescent="0.25">
      <c r="C421" s="2" t="s">
        <v>150</v>
      </c>
      <c r="D421" s="2">
        <v>4</v>
      </c>
      <c r="E421" s="2" t="s">
        <v>14</v>
      </c>
      <c r="F421" s="2" t="s">
        <v>146</v>
      </c>
      <c r="G421" s="3">
        <v>2.25</v>
      </c>
      <c r="H421" s="3">
        <v>-0.5</v>
      </c>
      <c r="I421" s="3">
        <v>15.66</v>
      </c>
      <c r="J421" s="3">
        <v>8.2799999999999994</v>
      </c>
      <c r="K421" s="3">
        <v>14.74</v>
      </c>
      <c r="L421" s="21">
        <v>12.85</v>
      </c>
      <c r="M421" s="3">
        <v>2.08</v>
      </c>
      <c r="N421" s="2" t="s">
        <v>16</v>
      </c>
      <c r="O421" s="4" t="s">
        <v>17</v>
      </c>
      <c r="P421" s="18" t="s">
        <v>350</v>
      </c>
      <c r="Q421" s="5">
        <f t="shared" si="18"/>
        <v>13.634</v>
      </c>
      <c r="R421" s="5">
        <f t="shared" si="19"/>
        <v>10.565</v>
      </c>
      <c r="S421" s="5">
        <f t="shared" si="19"/>
        <v>8.41</v>
      </c>
      <c r="T421" s="23">
        <f>('Investor-Inputs'!$G$19 * Q421) + ('Investor-Inputs'!$J$19 * R421) + ('Investor-Inputs'!$N$19 * S421)</f>
        <v>70.441999999999993</v>
      </c>
      <c r="U421" s="27">
        <f t="shared" si="20"/>
        <v>190</v>
      </c>
    </row>
    <row r="422" spans="3:21" x14ac:dyDescent="0.25">
      <c r="C422" s="2" t="s">
        <v>151</v>
      </c>
      <c r="D422" s="2">
        <v>5</v>
      </c>
      <c r="E422" s="2" t="s">
        <v>14</v>
      </c>
      <c r="F422" s="2" t="s">
        <v>152</v>
      </c>
      <c r="G422" s="3">
        <v>7.1</v>
      </c>
      <c r="H422" s="3">
        <v>5.38</v>
      </c>
      <c r="I422" s="3">
        <v>27.02</v>
      </c>
      <c r="J422" s="3">
        <v>15.8</v>
      </c>
      <c r="K422" s="3">
        <v>16.23</v>
      </c>
      <c r="L422" s="21">
        <v>18.239999999999998</v>
      </c>
      <c r="M422" s="3">
        <v>2.08</v>
      </c>
      <c r="N422" s="2" t="s">
        <v>16</v>
      </c>
      <c r="O422" s="4" t="s">
        <v>28</v>
      </c>
      <c r="P422" s="18" t="s">
        <v>350</v>
      </c>
      <c r="Q422" s="5">
        <f t="shared" si="18"/>
        <v>18.923000000000002</v>
      </c>
      <c r="R422" s="5">
        <f t="shared" si="19"/>
        <v>17.02</v>
      </c>
      <c r="S422" s="5">
        <f t="shared" si="19"/>
        <v>9.1550000000000011</v>
      </c>
      <c r="T422" s="23">
        <f>('Investor-Inputs'!$G$19 * Q422) + ('Investor-Inputs'!$J$19 * R422) + ('Investor-Inputs'!$N$19 * S422)</f>
        <v>99.963999999999999</v>
      </c>
      <c r="U422" s="27">
        <f t="shared" si="20"/>
        <v>51</v>
      </c>
    </row>
    <row r="423" spans="3:21" x14ac:dyDescent="0.25">
      <c r="C423" s="2" t="s">
        <v>153</v>
      </c>
      <c r="D423" s="2">
        <v>4</v>
      </c>
      <c r="E423" s="2" t="s">
        <v>14</v>
      </c>
      <c r="F423" s="2" t="s">
        <v>152</v>
      </c>
      <c r="G423" s="3">
        <v>4.5599999999999996</v>
      </c>
      <c r="H423" s="3">
        <v>6.72</v>
      </c>
      <c r="I423" s="3">
        <v>24.83</v>
      </c>
      <c r="J423" s="3">
        <v>14.42</v>
      </c>
      <c r="K423" s="3">
        <v>15.56</v>
      </c>
      <c r="L423" s="21">
        <v>17.309999999999999</v>
      </c>
      <c r="M423" s="3">
        <v>1.9</v>
      </c>
      <c r="N423" s="2" t="s">
        <v>16</v>
      </c>
      <c r="O423" s="4" t="s">
        <v>17</v>
      </c>
      <c r="P423" s="18" t="s">
        <v>350</v>
      </c>
      <c r="Q423" s="5">
        <f t="shared" si="18"/>
        <v>17.712</v>
      </c>
      <c r="R423" s="5">
        <f t="shared" si="19"/>
        <v>15.864999999999998</v>
      </c>
      <c r="S423" s="5">
        <f t="shared" si="19"/>
        <v>8.73</v>
      </c>
      <c r="T423" s="23">
        <f>('Investor-Inputs'!$G$19 * Q423) + ('Investor-Inputs'!$J$19 * R423) + ('Investor-Inputs'!$N$19 * S423)</f>
        <v>93.595999999999989</v>
      </c>
      <c r="U423" s="27">
        <f t="shared" si="20"/>
        <v>67</v>
      </c>
    </row>
    <row r="424" spans="3:21" x14ac:dyDescent="0.25">
      <c r="C424" s="2" t="s">
        <v>154</v>
      </c>
      <c r="D424" s="2">
        <v>4</v>
      </c>
      <c r="E424" s="2" t="s">
        <v>14</v>
      </c>
      <c r="F424" s="2" t="s">
        <v>152</v>
      </c>
      <c r="G424" s="3">
        <v>8.33</v>
      </c>
      <c r="H424" s="3">
        <v>6.92</v>
      </c>
      <c r="I424" s="3">
        <v>24.87</v>
      </c>
      <c r="J424" s="3">
        <v>14.86</v>
      </c>
      <c r="K424" s="3">
        <v>13.99</v>
      </c>
      <c r="L424" s="21">
        <v>16.38</v>
      </c>
      <c r="M424" s="3">
        <v>2.2999999999999998</v>
      </c>
      <c r="N424" s="2" t="s">
        <v>16</v>
      </c>
      <c r="O424" s="4" t="s">
        <v>24</v>
      </c>
      <c r="P424" s="18" t="s">
        <v>350</v>
      </c>
      <c r="Q424" s="5">
        <f t="shared" si="18"/>
        <v>16.943000000000001</v>
      </c>
      <c r="R424" s="5">
        <f t="shared" si="19"/>
        <v>15.62</v>
      </c>
      <c r="S424" s="5">
        <f t="shared" si="19"/>
        <v>8.1449999999999996</v>
      </c>
      <c r="T424" s="23">
        <f>('Investor-Inputs'!$G$19 * Q424) + ('Investor-Inputs'!$J$19 * R424) + ('Investor-Inputs'!$N$19 * S424)</f>
        <v>90.213999999999999</v>
      </c>
      <c r="U424" s="27">
        <f t="shared" si="20"/>
        <v>81</v>
      </c>
    </row>
    <row r="425" spans="3:21" x14ac:dyDescent="0.25">
      <c r="C425" s="2" t="s">
        <v>155</v>
      </c>
      <c r="D425" s="2">
        <v>4</v>
      </c>
      <c r="E425" s="2" t="s">
        <v>14</v>
      </c>
      <c r="F425" s="2" t="s">
        <v>156</v>
      </c>
      <c r="G425" s="3">
        <v>-3.31</v>
      </c>
      <c r="H425" s="3">
        <v>-7.98</v>
      </c>
      <c r="I425" s="3">
        <v>13.23</v>
      </c>
      <c r="J425" s="3">
        <v>3.2</v>
      </c>
      <c r="K425" s="3">
        <v>12.93</v>
      </c>
      <c r="L425" s="21">
        <v>8.77</v>
      </c>
      <c r="M425" s="3">
        <v>2.16</v>
      </c>
      <c r="N425" s="2" t="s">
        <v>16</v>
      </c>
      <c r="O425" s="4" t="s">
        <v>24</v>
      </c>
      <c r="P425" s="18" t="s">
        <v>350</v>
      </c>
      <c r="Q425" s="5">
        <f t="shared" si="18"/>
        <v>11.757000000000001</v>
      </c>
      <c r="R425" s="5">
        <f t="shared" si="19"/>
        <v>5.9849999999999994</v>
      </c>
      <c r="S425" s="5">
        <f t="shared" si="19"/>
        <v>7.5449999999999999</v>
      </c>
      <c r="T425" s="23">
        <f>('Investor-Inputs'!$G$19 * Q425) + ('Investor-Inputs'!$J$19 * R425) + ('Investor-Inputs'!$N$19 * S425)</f>
        <v>54.786000000000001</v>
      </c>
      <c r="U425" s="27">
        <f t="shared" si="20"/>
        <v>269</v>
      </c>
    </row>
    <row r="426" spans="3:21" x14ac:dyDescent="0.25">
      <c r="C426" s="2" t="s">
        <v>157</v>
      </c>
      <c r="D426" s="2">
        <v>5</v>
      </c>
      <c r="E426" s="2" t="s">
        <v>14</v>
      </c>
      <c r="F426" s="2" t="s">
        <v>156</v>
      </c>
      <c r="G426" s="3">
        <v>-0.17</v>
      </c>
      <c r="H426" s="3">
        <v>-5.69</v>
      </c>
      <c r="I426" s="3">
        <v>14</v>
      </c>
      <c r="J426" s="3">
        <v>4.08</v>
      </c>
      <c r="K426" s="3">
        <v>14.95</v>
      </c>
      <c r="L426" s="21">
        <v>10.32</v>
      </c>
      <c r="M426" s="3">
        <v>2.25</v>
      </c>
      <c r="N426" s="2" t="s">
        <v>16</v>
      </c>
      <c r="O426" s="4" t="s">
        <v>17</v>
      </c>
      <c r="P426" s="18" t="s">
        <v>350</v>
      </c>
      <c r="Q426" s="5">
        <f t="shared" si="18"/>
        <v>13.074999999999999</v>
      </c>
      <c r="R426" s="5">
        <f t="shared" si="19"/>
        <v>7.2</v>
      </c>
      <c r="S426" s="5">
        <f t="shared" si="19"/>
        <v>8.6</v>
      </c>
      <c r="T426" s="23">
        <f>('Investor-Inputs'!$G$19 * Q426) + ('Investor-Inputs'!$J$19 * R426) + ('Investor-Inputs'!$N$19 * S426)</f>
        <v>62.224999999999994</v>
      </c>
      <c r="U426" s="27">
        <f t="shared" si="20"/>
        <v>224</v>
      </c>
    </row>
    <row r="427" spans="3:21" x14ac:dyDescent="0.25">
      <c r="C427" s="2" t="s">
        <v>158</v>
      </c>
      <c r="D427" s="2">
        <v>4</v>
      </c>
      <c r="E427" s="2" t="s">
        <v>14</v>
      </c>
      <c r="F427" s="2" t="s">
        <v>156</v>
      </c>
      <c r="G427" s="3">
        <v>-0.06</v>
      </c>
      <c r="H427" s="3">
        <v>-6.54</v>
      </c>
      <c r="I427" s="3">
        <v>13.8</v>
      </c>
      <c r="J427" s="3">
        <v>3.92</v>
      </c>
      <c r="K427" s="3">
        <v>14.55</v>
      </c>
      <c r="L427" s="21">
        <v>9.9600000000000009</v>
      </c>
      <c r="M427" s="3">
        <v>1.91</v>
      </c>
      <c r="N427" s="2" t="s">
        <v>16</v>
      </c>
      <c r="O427" s="4" t="s">
        <v>17</v>
      </c>
      <c r="P427" s="18" t="s">
        <v>350</v>
      </c>
      <c r="Q427" s="5">
        <f t="shared" si="18"/>
        <v>12.795000000000002</v>
      </c>
      <c r="R427" s="5">
        <f t="shared" si="19"/>
        <v>6.94</v>
      </c>
      <c r="S427" s="5">
        <f t="shared" si="19"/>
        <v>8.23</v>
      </c>
      <c r="T427" s="23">
        <f>('Investor-Inputs'!$G$19 * Q427) + ('Investor-Inputs'!$J$19 * R427) + ('Investor-Inputs'!$N$19 * S427)</f>
        <v>60.495000000000005</v>
      </c>
      <c r="U427" s="27">
        <f t="shared" si="20"/>
        <v>238</v>
      </c>
    </row>
    <row r="428" spans="3:21" x14ac:dyDescent="0.25">
      <c r="C428" s="2" t="s">
        <v>159</v>
      </c>
      <c r="D428" s="2">
        <v>4</v>
      </c>
      <c r="E428" s="2" t="s">
        <v>14</v>
      </c>
      <c r="F428" s="2" t="s">
        <v>156</v>
      </c>
      <c r="G428" s="3">
        <v>-4.71</v>
      </c>
      <c r="H428" s="3">
        <v>-8.57</v>
      </c>
      <c r="I428" s="3">
        <v>13.47</v>
      </c>
      <c r="J428" s="3">
        <v>2.91</v>
      </c>
      <c r="K428" s="3">
        <v>15.63</v>
      </c>
      <c r="L428" s="21">
        <v>9.64</v>
      </c>
      <c r="M428" s="3">
        <v>1.98</v>
      </c>
      <c r="N428" s="2" t="s">
        <v>16</v>
      </c>
      <c r="O428" s="4" t="s">
        <v>17</v>
      </c>
      <c r="P428" s="18" t="s">
        <v>350</v>
      </c>
      <c r="Q428" s="5">
        <f t="shared" si="18"/>
        <v>13.203000000000001</v>
      </c>
      <c r="R428" s="5">
        <f t="shared" si="19"/>
        <v>6.2750000000000004</v>
      </c>
      <c r="S428" s="5">
        <f t="shared" si="19"/>
        <v>8.8049999999999997</v>
      </c>
      <c r="T428" s="23">
        <f>('Investor-Inputs'!$G$19 * Q428) + ('Investor-Inputs'!$J$19 * R428) + ('Investor-Inputs'!$N$19 * S428)</f>
        <v>60.964000000000006</v>
      </c>
      <c r="U428" s="27">
        <f t="shared" si="20"/>
        <v>234</v>
      </c>
    </row>
    <row r="429" spans="3:21" x14ac:dyDescent="0.25">
      <c r="C429" s="2" t="s">
        <v>160</v>
      </c>
      <c r="D429" s="2">
        <v>4</v>
      </c>
      <c r="E429" s="2" t="s">
        <v>14</v>
      </c>
      <c r="F429" s="2" t="s">
        <v>156</v>
      </c>
      <c r="G429" s="3">
        <v>4.07</v>
      </c>
      <c r="H429" s="3">
        <v>1.1499999999999999</v>
      </c>
      <c r="I429" s="3">
        <v>17.14</v>
      </c>
      <c r="J429" s="3">
        <v>7.67</v>
      </c>
      <c r="K429" s="3">
        <v>15.35</v>
      </c>
      <c r="L429" s="21">
        <v>12.16</v>
      </c>
      <c r="M429" s="3">
        <v>2.0099999999999998</v>
      </c>
      <c r="N429" s="2" t="s">
        <v>16</v>
      </c>
      <c r="O429" s="4" t="s">
        <v>28</v>
      </c>
      <c r="P429" s="18" t="s">
        <v>350</v>
      </c>
      <c r="Q429" s="5">
        <f t="shared" si="18"/>
        <v>14.531000000000001</v>
      </c>
      <c r="R429" s="5">
        <f t="shared" si="19"/>
        <v>9.9149999999999991</v>
      </c>
      <c r="S429" s="5">
        <f t="shared" si="19"/>
        <v>8.68</v>
      </c>
      <c r="T429" s="23">
        <f>('Investor-Inputs'!$G$19 * Q429) + ('Investor-Inputs'!$J$19 * R429) + ('Investor-Inputs'!$N$19 * S429)</f>
        <v>72.103000000000009</v>
      </c>
      <c r="U429" s="27">
        <f t="shared" si="20"/>
        <v>184</v>
      </c>
    </row>
    <row r="430" spans="3:21" x14ac:dyDescent="0.25">
      <c r="C430" s="2" t="s">
        <v>161</v>
      </c>
      <c r="D430" s="2">
        <v>4</v>
      </c>
      <c r="E430" s="2" t="s">
        <v>14</v>
      </c>
      <c r="F430" s="2" t="s">
        <v>162</v>
      </c>
      <c r="G430" s="3">
        <v>23.44</v>
      </c>
      <c r="H430" s="3">
        <v>20.97</v>
      </c>
      <c r="I430" s="3">
        <v>25.7</v>
      </c>
      <c r="J430" s="3">
        <v>17.38</v>
      </c>
      <c r="K430" s="3">
        <v>22.68</v>
      </c>
      <c r="L430" s="21">
        <v>20.72</v>
      </c>
      <c r="M430" s="3">
        <v>2.39</v>
      </c>
      <c r="N430" s="2" t="s">
        <v>16</v>
      </c>
      <c r="O430" s="4" t="s">
        <v>24</v>
      </c>
      <c r="P430" s="18" t="s">
        <v>350</v>
      </c>
      <c r="Q430" s="5">
        <f t="shared" si="18"/>
        <v>21.62</v>
      </c>
      <c r="R430" s="5">
        <f t="shared" si="19"/>
        <v>19.049999999999997</v>
      </c>
      <c r="S430" s="5">
        <f t="shared" si="19"/>
        <v>12.535</v>
      </c>
      <c r="T430" s="23">
        <f>('Investor-Inputs'!$G$19 * Q430) + ('Investor-Inputs'!$J$19 * R430) + ('Investor-Inputs'!$N$19 * S430)</f>
        <v>115.49499999999999</v>
      </c>
      <c r="U430" s="27">
        <f t="shared" si="20"/>
        <v>21</v>
      </c>
    </row>
    <row r="431" spans="3:21" x14ac:dyDescent="0.25">
      <c r="C431" s="2" t="s">
        <v>163</v>
      </c>
      <c r="D431" s="2">
        <v>4</v>
      </c>
      <c r="E431" s="2" t="s">
        <v>14</v>
      </c>
      <c r="F431" s="2" t="s">
        <v>162</v>
      </c>
      <c r="G431" s="3">
        <v>16.11</v>
      </c>
      <c r="H431" s="3">
        <v>15.05</v>
      </c>
      <c r="I431" s="3">
        <v>26.29</v>
      </c>
      <c r="J431" s="3">
        <v>16.829999999999998</v>
      </c>
      <c r="K431" s="3">
        <v>24.72</v>
      </c>
      <c r="L431" s="21">
        <v>21.12</v>
      </c>
      <c r="M431" s="3">
        <v>2.25</v>
      </c>
      <c r="N431" s="2" t="s">
        <v>16</v>
      </c>
      <c r="O431" s="4" t="s">
        <v>17</v>
      </c>
      <c r="P431" s="18" t="s">
        <v>350</v>
      </c>
      <c r="Q431" s="5">
        <f t="shared" si="18"/>
        <v>22.875999999999998</v>
      </c>
      <c r="R431" s="5">
        <f t="shared" si="19"/>
        <v>18.975000000000001</v>
      </c>
      <c r="S431" s="5">
        <f t="shared" si="19"/>
        <v>13.484999999999999</v>
      </c>
      <c r="T431" s="23">
        <f>('Investor-Inputs'!$G$19 * Q431) + ('Investor-Inputs'!$J$19 * R431) + ('Investor-Inputs'!$N$19 * S431)</f>
        <v>120.06299999999999</v>
      </c>
      <c r="U431" s="27">
        <f t="shared" si="20"/>
        <v>15</v>
      </c>
    </row>
    <row r="432" spans="3:21" x14ac:dyDescent="0.25">
      <c r="C432" s="2" t="s">
        <v>164</v>
      </c>
      <c r="D432" s="2">
        <v>4</v>
      </c>
      <c r="E432" s="2" t="s">
        <v>14</v>
      </c>
      <c r="F432" s="2" t="s">
        <v>162</v>
      </c>
      <c r="G432" s="3">
        <v>19.45</v>
      </c>
      <c r="H432" s="3">
        <v>20.76</v>
      </c>
      <c r="I432" s="3">
        <v>27.15</v>
      </c>
      <c r="J432" s="3">
        <v>16.399999999999999</v>
      </c>
      <c r="K432" s="3">
        <v>25.42</v>
      </c>
      <c r="L432" s="21">
        <v>21.86</v>
      </c>
      <c r="M432" s="3">
        <v>1.99</v>
      </c>
      <c r="N432" s="2" t="s">
        <v>16</v>
      </c>
      <c r="O432" s="4" t="s">
        <v>17</v>
      </c>
      <c r="P432" s="18" t="s">
        <v>350</v>
      </c>
      <c r="Q432" s="5">
        <f t="shared" si="18"/>
        <v>23.57</v>
      </c>
      <c r="R432" s="5">
        <f t="shared" si="19"/>
        <v>19.13</v>
      </c>
      <c r="S432" s="5">
        <f t="shared" si="19"/>
        <v>13.705</v>
      </c>
      <c r="T432" s="23">
        <f>('Investor-Inputs'!$G$19 * Q432) + ('Investor-Inputs'!$J$19 * R432) + ('Investor-Inputs'!$N$19 * S432)</f>
        <v>122.675</v>
      </c>
      <c r="U432" s="27">
        <f t="shared" si="20"/>
        <v>11</v>
      </c>
    </row>
    <row r="433" spans="3:21" x14ac:dyDescent="0.25">
      <c r="C433" s="2" t="s">
        <v>165</v>
      </c>
      <c r="D433" s="2">
        <v>5</v>
      </c>
      <c r="E433" s="2" t="s">
        <v>14</v>
      </c>
      <c r="F433" s="2" t="s">
        <v>162</v>
      </c>
      <c r="G433" s="3">
        <v>11.36</v>
      </c>
      <c r="H433" s="3">
        <v>8.8000000000000007</v>
      </c>
      <c r="I433" s="3">
        <v>26.12</v>
      </c>
      <c r="J433" s="3">
        <v>13.92</v>
      </c>
      <c r="K433" s="3">
        <v>24.3</v>
      </c>
      <c r="L433" s="21">
        <v>20.43</v>
      </c>
      <c r="M433" s="3">
        <v>2.04</v>
      </c>
      <c r="N433" s="2" t="s">
        <v>16</v>
      </c>
      <c r="O433" s="4" t="s">
        <v>17</v>
      </c>
      <c r="P433" s="18" t="s">
        <v>350</v>
      </c>
      <c r="Q433" s="5">
        <f t="shared" si="18"/>
        <v>22.597999999999999</v>
      </c>
      <c r="R433" s="5">
        <f t="shared" si="19"/>
        <v>17.175000000000001</v>
      </c>
      <c r="S433" s="5">
        <f t="shared" si="19"/>
        <v>13.17</v>
      </c>
      <c r="T433" s="23">
        <f>('Investor-Inputs'!$G$19 * Q433) + ('Investor-Inputs'!$J$19 * R433) + ('Investor-Inputs'!$N$19 * S433)</f>
        <v>115.31400000000001</v>
      </c>
      <c r="U433" s="27">
        <f t="shared" si="20"/>
        <v>23</v>
      </c>
    </row>
    <row r="434" spans="3:21" x14ac:dyDescent="0.25">
      <c r="C434" s="2" t="s">
        <v>166</v>
      </c>
      <c r="D434" s="2">
        <v>4</v>
      </c>
      <c r="E434" s="2" t="s">
        <v>14</v>
      </c>
      <c r="F434" s="2" t="s">
        <v>162</v>
      </c>
      <c r="G434" s="3">
        <v>6.44</v>
      </c>
      <c r="H434" s="3">
        <v>2.1800000000000002</v>
      </c>
      <c r="I434" s="3">
        <v>24.76</v>
      </c>
      <c r="J434" s="3">
        <v>10.36</v>
      </c>
      <c r="K434" s="3">
        <v>24.58</v>
      </c>
      <c r="L434" s="21">
        <v>19.350000000000001</v>
      </c>
      <c r="M434" s="3">
        <v>2.5299999999999998</v>
      </c>
      <c r="N434" s="2" t="s">
        <v>16</v>
      </c>
      <c r="O434" s="4" t="s">
        <v>17</v>
      </c>
      <c r="P434" s="18" t="s">
        <v>350</v>
      </c>
      <c r="Q434" s="5">
        <f t="shared" si="18"/>
        <v>22.194000000000003</v>
      </c>
      <c r="R434" s="5">
        <f t="shared" si="19"/>
        <v>14.855</v>
      </c>
      <c r="S434" s="5">
        <f t="shared" si="19"/>
        <v>13.555</v>
      </c>
      <c r="T434" s="23">
        <f>('Investor-Inputs'!$G$19 * Q434) + ('Investor-Inputs'!$J$19 * R434) + ('Investor-Inputs'!$N$19 * S434)</f>
        <v>109.84700000000001</v>
      </c>
      <c r="U434" s="27">
        <f t="shared" si="20"/>
        <v>29</v>
      </c>
    </row>
    <row r="435" spans="3:21" x14ac:dyDescent="0.25">
      <c r="C435" s="2" t="s">
        <v>167</v>
      </c>
      <c r="D435" s="2">
        <v>5</v>
      </c>
      <c r="E435" s="2" t="s">
        <v>14</v>
      </c>
      <c r="F435" s="2" t="s">
        <v>162</v>
      </c>
      <c r="G435" s="3">
        <v>11.11</v>
      </c>
      <c r="H435" s="3">
        <v>7.66</v>
      </c>
      <c r="I435" s="3">
        <v>23.91</v>
      </c>
      <c r="J435" s="3">
        <v>13.56</v>
      </c>
      <c r="K435" s="3">
        <v>26.64</v>
      </c>
      <c r="L435" s="21">
        <v>21.29</v>
      </c>
      <c r="M435" s="3">
        <v>2.34</v>
      </c>
      <c r="N435" s="2" t="s">
        <v>16</v>
      </c>
      <c r="O435" s="4" t="s">
        <v>17</v>
      </c>
      <c r="P435" s="18" t="s">
        <v>350</v>
      </c>
      <c r="Q435" s="5">
        <f t="shared" si="18"/>
        <v>22.884</v>
      </c>
      <c r="R435" s="5">
        <f t="shared" si="19"/>
        <v>17.425000000000001</v>
      </c>
      <c r="S435" s="5">
        <f t="shared" si="19"/>
        <v>14.49</v>
      </c>
      <c r="T435" s="23">
        <f>('Investor-Inputs'!$G$19 * Q435) + ('Investor-Inputs'!$J$19 * R435) + ('Investor-Inputs'!$N$19 * S435)</f>
        <v>117.992</v>
      </c>
      <c r="U435" s="27">
        <f t="shared" si="20"/>
        <v>19</v>
      </c>
    </row>
    <row r="436" spans="3:21" x14ac:dyDescent="0.25">
      <c r="C436" s="2" t="s">
        <v>168</v>
      </c>
      <c r="D436" s="2">
        <v>4</v>
      </c>
      <c r="E436" s="2" t="s">
        <v>14</v>
      </c>
      <c r="F436" s="2" t="s">
        <v>162</v>
      </c>
      <c r="G436" s="3">
        <v>18.920000000000002</v>
      </c>
      <c r="H436" s="3">
        <v>12.81</v>
      </c>
      <c r="I436" s="3">
        <v>28.67</v>
      </c>
      <c r="J436" s="3">
        <v>17.010000000000002</v>
      </c>
      <c r="K436" s="3">
        <v>24.94</v>
      </c>
      <c r="L436" s="21">
        <v>21.79</v>
      </c>
      <c r="M436" s="3">
        <v>2.1800000000000002</v>
      </c>
      <c r="N436" s="2" t="s">
        <v>16</v>
      </c>
      <c r="O436" s="4" t="s">
        <v>28</v>
      </c>
      <c r="P436" s="18" t="s">
        <v>350</v>
      </c>
      <c r="Q436" s="5">
        <f t="shared" si="18"/>
        <v>23.938000000000002</v>
      </c>
      <c r="R436" s="5">
        <f t="shared" si="19"/>
        <v>19.399999999999999</v>
      </c>
      <c r="S436" s="5">
        <f t="shared" si="19"/>
        <v>13.56</v>
      </c>
      <c r="T436" s="23">
        <f>('Investor-Inputs'!$G$19 * Q436) + ('Investor-Inputs'!$J$19 * R436) + ('Investor-Inputs'!$N$19 * S436)</f>
        <v>124.17400000000001</v>
      </c>
      <c r="U436" s="27">
        <f t="shared" si="20"/>
        <v>9</v>
      </c>
    </row>
    <row r="437" spans="3:21" x14ac:dyDescent="0.25">
      <c r="C437" s="2" t="s">
        <v>169</v>
      </c>
      <c r="D437" s="2">
        <v>4</v>
      </c>
      <c r="E437" s="2" t="s">
        <v>14</v>
      </c>
      <c r="F437" s="2" t="s">
        <v>170</v>
      </c>
      <c r="G437" s="3">
        <v>2.38</v>
      </c>
      <c r="H437" s="3">
        <v>2.2599999999999998</v>
      </c>
      <c r="I437" s="3">
        <v>6.72</v>
      </c>
      <c r="J437" s="3">
        <v>5.85</v>
      </c>
      <c r="K437" s="3">
        <v>5.73</v>
      </c>
      <c r="L437" s="21">
        <v>6.21</v>
      </c>
      <c r="M437" s="3">
        <v>0.95</v>
      </c>
      <c r="N437" s="2" t="s">
        <v>171</v>
      </c>
      <c r="O437" s="4" t="s">
        <v>28</v>
      </c>
      <c r="P437" s="18" t="s">
        <v>350</v>
      </c>
      <c r="Q437" s="5">
        <f t="shared" si="18"/>
        <v>5.5530000000000008</v>
      </c>
      <c r="R437" s="5">
        <f t="shared" si="19"/>
        <v>6.0299999999999994</v>
      </c>
      <c r="S437" s="5">
        <f t="shared" si="19"/>
        <v>3.3400000000000003</v>
      </c>
      <c r="T437" s="23">
        <f>('Investor-Inputs'!$G$19 * Q437) + ('Investor-Inputs'!$J$19 * R437) + ('Investor-Inputs'!$N$19 * S437)</f>
        <v>32.059000000000005</v>
      </c>
      <c r="U437" s="27">
        <f t="shared" si="20"/>
        <v>500</v>
      </c>
    </row>
    <row r="438" spans="3:21" x14ac:dyDescent="0.25">
      <c r="C438" s="2" t="s">
        <v>172</v>
      </c>
      <c r="D438" s="2">
        <v>4</v>
      </c>
      <c r="E438" s="2" t="s">
        <v>14</v>
      </c>
      <c r="F438" s="2" t="s">
        <v>170</v>
      </c>
      <c r="G438" s="3">
        <v>1.97</v>
      </c>
      <c r="H438" s="3">
        <v>1.37</v>
      </c>
      <c r="I438" s="3">
        <v>6.04</v>
      </c>
      <c r="J438" s="3">
        <v>5.32</v>
      </c>
      <c r="K438" s="3">
        <v>4.8099999999999996</v>
      </c>
      <c r="L438" s="21">
        <v>5.45</v>
      </c>
      <c r="M438" s="3">
        <v>1.24</v>
      </c>
      <c r="N438" s="2" t="s">
        <v>171</v>
      </c>
      <c r="O438" s="4" t="s">
        <v>17</v>
      </c>
      <c r="P438" s="18" t="s">
        <v>350</v>
      </c>
      <c r="Q438" s="5">
        <f t="shared" si="18"/>
        <v>4.8209999999999997</v>
      </c>
      <c r="R438" s="5">
        <f t="shared" si="19"/>
        <v>5.3849999999999998</v>
      </c>
      <c r="S438" s="5">
        <f t="shared" si="19"/>
        <v>3.0249999999999999</v>
      </c>
      <c r="T438" s="23">
        <f>('Investor-Inputs'!$G$19 * Q438) + ('Investor-Inputs'!$J$19 * R438) + ('Investor-Inputs'!$N$19 * S438)</f>
        <v>28.257999999999996</v>
      </c>
      <c r="U438" s="27">
        <f t="shared" si="20"/>
        <v>550</v>
      </c>
    </row>
    <row r="439" spans="3:21" x14ac:dyDescent="0.25">
      <c r="C439" s="2" t="s">
        <v>173</v>
      </c>
      <c r="D439" s="2">
        <v>4</v>
      </c>
      <c r="E439" s="2" t="s">
        <v>14</v>
      </c>
      <c r="F439" s="2" t="s">
        <v>170</v>
      </c>
      <c r="G439" s="3">
        <v>1.99</v>
      </c>
      <c r="H439" s="3">
        <v>1.92</v>
      </c>
      <c r="I439" s="3">
        <v>6.21</v>
      </c>
      <c r="J439" s="3">
        <v>5.53</v>
      </c>
      <c r="K439" s="3">
        <v>5.22</v>
      </c>
      <c r="L439" s="21">
        <v>5.84</v>
      </c>
      <c r="M439" s="3">
        <v>0.61</v>
      </c>
      <c r="N439" s="2" t="s">
        <v>171</v>
      </c>
      <c r="O439" s="4" t="s">
        <v>17</v>
      </c>
      <c r="P439" s="18" t="s">
        <v>350</v>
      </c>
      <c r="Q439" s="5">
        <f t="shared" si="18"/>
        <v>5.0939999999999994</v>
      </c>
      <c r="R439" s="5">
        <f t="shared" si="19"/>
        <v>5.6850000000000005</v>
      </c>
      <c r="S439" s="5">
        <f t="shared" si="19"/>
        <v>2.915</v>
      </c>
      <c r="T439" s="23">
        <f>('Investor-Inputs'!$G$19 * Q439) + ('Investor-Inputs'!$J$19 * R439) + ('Investor-Inputs'!$N$19 * S439)</f>
        <v>29.567</v>
      </c>
      <c r="U439" s="27">
        <f t="shared" si="20"/>
        <v>544</v>
      </c>
    </row>
    <row r="440" spans="3:21" x14ac:dyDescent="0.25">
      <c r="C440" s="2" t="s">
        <v>174</v>
      </c>
      <c r="D440" s="2">
        <v>4</v>
      </c>
      <c r="E440" s="2" t="s">
        <v>14</v>
      </c>
      <c r="F440" s="2" t="s">
        <v>175</v>
      </c>
      <c r="G440" s="3">
        <v>3.99</v>
      </c>
      <c r="H440" s="3">
        <v>3.07</v>
      </c>
      <c r="I440" s="3">
        <v>6.75</v>
      </c>
      <c r="J440" s="3">
        <v>6.28</v>
      </c>
      <c r="K440" s="3">
        <v>5.74</v>
      </c>
      <c r="L440" s="21">
        <v>6.3</v>
      </c>
      <c r="M440" s="3">
        <v>0.77</v>
      </c>
      <c r="N440" s="2" t="s">
        <v>171</v>
      </c>
      <c r="O440" s="4" t="s">
        <v>17</v>
      </c>
      <c r="P440" s="18" t="s">
        <v>350</v>
      </c>
      <c r="Q440" s="5">
        <f t="shared" si="18"/>
        <v>5.57</v>
      </c>
      <c r="R440" s="5">
        <f t="shared" si="19"/>
        <v>6.29</v>
      </c>
      <c r="S440" s="5">
        <f t="shared" si="19"/>
        <v>3.2549999999999999</v>
      </c>
      <c r="T440" s="23">
        <f>('Investor-Inputs'!$G$19 * Q440) + ('Investor-Inputs'!$J$19 * R440) + ('Investor-Inputs'!$N$19 * S440)</f>
        <v>32.545000000000002</v>
      </c>
      <c r="U440" s="27">
        <f t="shared" si="20"/>
        <v>486</v>
      </c>
    </row>
    <row r="441" spans="3:21" x14ac:dyDescent="0.25">
      <c r="C441" s="2" t="s">
        <v>176</v>
      </c>
      <c r="D441" s="2">
        <v>5</v>
      </c>
      <c r="E441" s="2" t="s">
        <v>14</v>
      </c>
      <c r="F441" s="2" t="s">
        <v>177</v>
      </c>
      <c r="G441" s="3">
        <v>5.31</v>
      </c>
      <c r="H441" s="3">
        <v>4.5199999999999996</v>
      </c>
      <c r="I441" s="3">
        <v>7.07</v>
      </c>
      <c r="J441" s="3">
        <v>6.88</v>
      </c>
      <c r="K441" s="3">
        <v>6.04</v>
      </c>
      <c r="L441" s="21">
        <v>6.69</v>
      </c>
      <c r="M441" s="3">
        <v>0.91</v>
      </c>
      <c r="N441" s="2" t="s">
        <v>171</v>
      </c>
      <c r="O441" s="4" t="s">
        <v>28</v>
      </c>
      <c r="P441" s="18" t="s">
        <v>350</v>
      </c>
      <c r="Q441" s="5">
        <f t="shared" si="18"/>
        <v>5.8480000000000008</v>
      </c>
      <c r="R441" s="5">
        <f t="shared" si="19"/>
        <v>6.7850000000000001</v>
      </c>
      <c r="S441" s="5">
        <f t="shared" si="19"/>
        <v>3.4750000000000001</v>
      </c>
      <c r="T441" s="23">
        <f>('Investor-Inputs'!$G$19 * Q441) + ('Investor-Inputs'!$J$19 * R441) + ('Investor-Inputs'!$N$19 * S441)</f>
        <v>34.589000000000006</v>
      </c>
      <c r="U441" s="27">
        <f t="shared" si="20"/>
        <v>407</v>
      </c>
    </row>
    <row r="442" spans="3:21" x14ac:dyDescent="0.25">
      <c r="C442" s="2" t="s">
        <v>178</v>
      </c>
      <c r="D442" s="2">
        <v>4</v>
      </c>
      <c r="E442" s="2" t="s">
        <v>14</v>
      </c>
      <c r="F442" s="2" t="s">
        <v>177</v>
      </c>
      <c r="G442" s="3">
        <v>4.97</v>
      </c>
      <c r="H442" s="3">
        <v>4.45</v>
      </c>
      <c r="I442" s="3">
        <v>6.93</v>
      </c>
      <c r="J442" s="3">
        <v>6.68</v>
      </c>
      <c r="K442" s="3">
        <v>5.75</v>
      </c>
      <c r="L442" s="21">
        <v>6.47</v>
      </c>
      <c r="M442" s="3">
        <v>0.82</v>
      </c>
      <c r="N442" s="2" t="s">
        <v>171</v>
      </c>
      <c r="O442" s="4" t="s">
        <v>17</v>
      </c>
      <c r="P442" s="18" t="s">
        <v>350</v>
      </c>
      <c r="Q442" s="5">
        <f t="shared" si="18"/>
        <v>5.6470000000000002</v>
      </c>
      <c r="R442" s="5">
        <f t="shared" si="19"/>
        <v>6.5749999999999993</v>
      </c>
      <c r="S442" s="5">
        <f t="shared" si="19"/>
        <v>3.2850000000000001</v>
      </c>
      <c r="T442" s="23">
        <f>('Investor-Inputs'!$G$19 * Q442) + ('Investor-Inputs'!$J$19 * R442) + ('Investor-Inputs'!$N$19 * S442)</f>
        <v>33.376000000000005</v>
      </c>
      <c r="U442" s="27">
        <f t="shared" si="20"/>
        <v>474</v>
      </c>
    </row>
    <row r="443" spans="3:21" x14ac:dyDescent="0.25">
      <c r="C443" s="2" t="s">
        <v>179</v>
      </c>
      <c r="D443" s="2">
        <v>5</v>
      </c>
      <c r="E443" s="2" t="s">
        <v>14</v>
      </c>
      <c r="F443" s="2" t="s">
        <v>177</v>
      </c>
      <c r="G443" s="3">
        <v>4.75</v>
      </c>
      <c r="H443" s="3">
        <v>4.09</v>
      </c>
      <c r="I443" s="3">
        <v>6.75</v>
      </c>
      <c r="J443" s="3">
        <v>6.46</v>
      </c>
      <c r="K443" s="2"/>
      <c r="L443" s="20"/>
      <c r="M443" s="3">
        <v>0.56000000000000005</v>
      </c>
      <c r="N443" s="2" t="s">
        <v>180</v>
      </c>
      <c r="O443" s="4" t="s">
        <v>28</v>
      </c>
      <c r="P443" s="18" t="s">
        <v>350</v>
      </c>
      <c r="Q443" s="5">
        <f t="shared" si="18"/>
        <v>2.7</v>
      </c>
      <c r="R443" s="5">
        <f t="shared" si="19"/>
        <v>3.23</v>
      </c>
      <c r="S443" s="5">
        <f t="shared" si="19"/>
        <v>0.28000000000000003</v>
      </c>
      <c r="T443" s="23">
        <f>('Investor-Inputs'!$G$19 * Q443) + ('Investor-Inputs'!$J$19 * R443) + ('Investor-Inputs'!$N$19 * S443)</f>
        <v>14.840000000000002</v>
      </c>
      <c r="U443" s="27">
        <f t="shared" si="20"/>
        <v>579</v>
      </c>
    </row>
    <row r="444" spans="3:21" x14ac:dyDescent="0.25">
      <c r="C444" s="2" t="s">
        <v>181</v>
      </c>
      <c r="D444" s="2">
        <v>5</v>
      </c>
      <c r="E444" s="2" t="s">
        <v>14</v>
      </c>
      <c r="F444" s="2" t="s">
        <v>177</v>
      </c>
      <c r="G444" s="3">
        <v>5.17</v>
      </c>
      <c r="H444" s="3">
        <v>4.3</v>
      </c>
      <c r="I444" s="3">
        <v>7.2</v>
      </c>
      <c r="J444" s="3">
        <v>6.8</v>
      </c>
      <c r="K444" s="3">
        <v>6.15</v>
      </c>
      <c r="L444" s="21">
        <v>6.72</v>
      </c>
      <c r="M444" s="3">
        <v>0.71</v>
      </c>
      <c r="N444" s="2" t="s">
        <v>171</v>
      </c>
      <c r="O444" s="4" t="s">
        <v>17</v>
      </c>
      <c r="P444" s="18" t="s">
        <v>350</v>
      </c>
      <c r="Q444" s="5">
        <f t="shared" si="18"/>
        <v>5.9550000000000001</v>
      </c>
      <c r="R444" s="5">
        <f t="shared" si="19"/>
        <v>6.76</v>
      </c>
      <c r="S444" s="5">
        <f t="shared" si="19"/>
        <v>3.43</v>
      </c>
      <c r="T444" s="23">
        <f>('Investor-Inputs'!$G$19 * Q444) + ('Investor-Inputs'!$J$19 * R444) + ('Investor-Inputs'!$N$19 * S444)</f>
        <v>34.815000000000005</v>
      </c>
      <c r="U444" s="27">
        <f t="shared" si="20"/>
        <v>401</v>
      </c>
    </row>
    <row r="445" spans="3:21" x14ac:dyDescent="0.25">
      <c r="C445" s="2" t="s">
        <v>182</v>
      </c>
      <c r="D445" s="2">
        <v>4</v>
      </c>
      <c r="E445" s="2" t="s">
        <v>14</v>
      </c>
      <c r="F445" s="2" t="s">
        <v>177</v>
      </c>
      <c r="G445" s="3">
        <v>4.84</v>
      </c>
      <c r="H445" s="3">
        <v>3.93</v>
      </c>
      <c r="I445" s="3">
        <v>6.73</v>
      </c>
      <c r="J445" s="3">
        <v>6.46</v>
      </c>
      <c r="K445" s="3">
        <v>5.54</v>
      </c>
      <c r="L445" s="21">
        <v>6.25</v>
      </c>
      <c r="M445" s="3">
        <v>0.74</v>
      </c>
      <c r="N445" s="2" t="s">
        <v>171</v>
      </c>
      <c r="O445" s="4" t="s">
        <v>17</v>
      </c>
      <c r="P445" s="18" t="s">
        <v>350</v>
      </c>
      <c r="Q445" s="5">
        <f t="shared" si="18"/>
        <v>5.4619999999999997</v>
      </c>
      <c r="R445" s="5">
        <f t="shared" si="19"/>
        <v>6.3550000000000004</v>
      </c>
      <c r="S445" s="5">
        <f t="shared" si="19"/>
        <v>3.14</v>
      </c>
      <c r="T445" s="23">
        <f>('Investor-Inputs'!$G$19 * Q445) + ('Investor-Inputs'!$J$19 * R445) + ('Investor-Inputs'!$N$19 * S445)</f>
        <v>32.235999999999997</v>
      </c>
      <c r="U445" s="27">
        <f t="shared" si="20"/>
        <v>496</v>
      </c>
    </row>
    <row r="446" spans="3:21" x14ac:dyDescent="0.25">
      <c r="C446" s="2" t="s">
        <v>183</v>
      </c>
      <c r="D446" s="2">
        <v>5</v>
      </c>
      <c r="E446" s="2" t="s">
        <v>14</v>
      </c>
      <c r="F446" s="2" t="s">
        <v>177</v>
      </c>
      <c r="G446" s="3">
        <v>5.47</v>
      </c>
      <c r="H446" s="3">
        <v>4.75</v>
      </c>
      <c r="I446" s="3">
        <v>7.23</v>
      </c>
      <c r="J446" s="3">
        <v>6.87</v>
      </c>
      <c r="K446" s="3">
        <v>6.37</v>
      </c>
      <c r="L446" s="21">
        <v>6.87</v>
      </c>
      <c r="M446" s="3">
        <v>1.04</v>
      </c>
      <c r="N446" s="2" t="s">
        <v>171</v>
      </c>
      <c r="O446" s="4" t="s">
        <v>17</v>
      </c>
      <c r="P446" s="18" t="s">
        <v>350</v>
      </c>
      <c r="Q446" s="5">
        <f t="shared" si="18"/>
        <v>6.077</v>
      </c>
      <c r="R446" s="5">
        <f t="shared" si="19"/>
        <v>6.87</v>
      </c>
      <c r="S446" s="5">
        <f t="shared" si="19"/>
        <v>3.7050000000000001</v>
      </c>
      <c r="T446" s="23">
        <f>('Investor-Inputs'!$G$19 * Q446) + ('Investor-Inputs'!$J$19 * R446) + ('Investor-Inputs'!$N$19 * S446)</f>
        <v>35.676000000000002</v>
      </c>
      <c r="U446" s="27">
        <f t="shared" si="20"/>
        <v>371</v>
      </c>
    </row>
    <row r="447" spans="3:21" x14ac:dyDescent="0.25">
      <c r="C447" s="2" t="s">
        <v>184</v>
      </c>
      <c r="D447" s="2">
        <v>4</v>
      </c>
      <c r="E447" s="2" t="s">
        <v>14</v>
      </c>
      <c r="F447" s="2" t="s">
        <v>177</v>
      </c>
      <c r="G447" s="3">
        <v>4.9800000000000004</v>
      </c>
      <c r="H447" s="3">
        <v>4.03</v>
      </c>
      <c r="I447" s="3">
        <v>7.01</v>
      </c>
      <c r="J447" s="3">
        <v>6.68</v>
      </c>
      <c r="K447" s="3">
        <v>5.97</v>
      </c>
      <c r="L447" s="21">
        <v>6.53</v>
      </c>
      <c r="M447" s="3">
        <v>0.94</v>
      </c>
      <c r="N447" s="2" t="s">
        <v>171</v>
      </c>
      <c r="O447" s="4" t="s">
        <v>17</v>
      </c>
      <c r="P447" s="18" t="s">
        <v>350</v>
      </c>
      <c r="Q447" s="5">
        <f t="shared" si="18"/>
        <v>5.7889999999999997</v>
      </c>
      <c r="R447" s="5">
        <f t="shared" si="19"/>
        <v>6.6050000000000004</v>
      </c>
      <c r="S447" s="5">
        <f t="shared" si="19"/>
        <v>3.4550000000000001</v>
      </c>
      <c r="T447" s="23">
        <f>('Investor-Inputs'!$G$19 * Q447) + ('Investor-Inputs'!$J$19 * R447) + ('Investor-Inputs'!$N$19 * S447)</f>
        <v>34.031999999999996</v>
      </c>
      <c r="U447" s="27">
        <f t="shared" si="20"/>
        <v>422</v>
      </c>
    </row>
    <row r="448" spans="3:21" x14ac:dyDescent="0.25">
      <c r="C448" s="2" t="s">
        <v>185</v>
      </c>
      <c r="D448" s="2">
        <v>4</v>
      </c>
      <c r="E448" s="2" t="s">
        <v>14</v>
      </c>
      <c r="F448" s="2" t="s">
        <v>177</v>
      </c>
      <c r="G448" s="3">
        <v>4.83</v>
      </c>
      <c r="H448" s="3">
        <v>3.85</v>
      </c>
      <c r="I448" s="3">
        <v>6.81</v>
      </c>
      <c r="J448" s="3">
        <v>6.48</v>
      </c>
      <c r="K448" s="3">
        <v>5.79</v>
      </c>
      <c r="L448" s="21">
        <v>6.38</v>
      </c>
      <c r="M448" s="3">
        <v>0.86</v>
      </c>
      <c r="N448" s="2" t="s">
        <v>171</v>
      </c>
      <c r="O448" s="4" t="s">
        <v>24</v>
      </c>
      <c r="P448" s="18" t="s">
        <v>350</v>
      </c>
      <c r="Q448" s="5">
        <f t="shared" si="18"/>
        <v>5.6189999999999998</v>
      </c>
      <c r="R448" s="5">
        <f t="shared" si="19"/>
        <v>6.43</v>
      </c>
      <c r="S448" s="5">
        <f t="shared" si="19"/>
        <v>3.3250000000000002</v>
      </c>
      <c r="T448" s="23">
        <f>('Investor-Inputs'!$G$19 * Q448) + ('Investor-Inputs'!$J$19 * R448) + ('Investor-Inputs'!$N$19 * S448)</f>
        <v>33.042000000000002</v>
      </c>
      <c r="U448" s="27">
        <f t="shared" si="20"/>
        <v>480</v>
      </c>
    </row>
    <row r="449" spans="3:21" x14ac:dyDescent="0.25">
      <c r="C449" s="2" t="s">
        <v>186</v>
      </c>
      <c r="D449" s="2">
        <v>4</v>
      </c>
      <c r="E449" s="2" t="s">
        <v>14</v>
      </c>
      <c r="F449" s="2" t="s">
        <v>177</v>
      </c>
      <c r="G449" s="3">
        <v>4.8</v>
      </c>
      <c r="H449" s="3">
        <v>4.1900000000000004</v>
      </c>
      <c r="I449" s="3">
        <v>6.81</v>
      </c>
      <c r="J449" s="3">
        <v>6.49</v>
      </c>
      <c r="K449" s="3">
        <v>7.2</v>
      </c>
      <c r="L449" s="21">
        <v>6.42</v>
      </c>
      <c r="M449" s="3">
        <v>0.8</v>
      </c>
      <c r="N449" s="2" t="s">
        <v>180</v>
      </c>
      <c r="O449" s="4" t="s">
        <v>17</v>
      </c>
      <c r="P449" s="18" t="s">
        <v>350</v>
      </c>
      <c r="Q449" s="5">
        <f t="shared" si="18"/>
        <v>6.3239999999999998</v>
      </c>
      <c r="R449" s="5">
        <f t="shared" si="19"/>
        <v>6.4550000000000001</v>
      </c>
      <c r="S449" s="5">
        <f t="shared" si="19"/>
        <v>4</v>
      </c>
      <c r="T449" s="23">
        <f>('Investor-Inputs'!$G$19 * Q449) + ('Investor-Inputs'!$J$19 * R449) + ('Investor-Inputs'!$N$19 * S449)</f>
        <v>35.882000000000005</v>
      </c>
      <c r="U449" s="27">
        <f t="shared" si="20"/>
        <v>355</v>
      </c>
    </row>
    <row r="450" spans="3:21" x14ac:dyDescent="0.25">
      <c r="C450" s="2" t="s">
        <v>187</v>
      </c>
      <c r="D450" s="2">
        <v>5</v>
      </c>
      <c r="E450" s="2" t="s">
        <v>14</v>
      </c>
      <c r="F450" s="2" t="s">
        <v>188</v>
      </c>
      <c r="G450" s="3">
        <v>6.17</v>
      </c>
      <c r="H450" s="3">
        <v>5.68</v>
      </c>
      <c r="I450" s="3">
        <v>7.11</v>
      </c>
      <c r="J450" s="3">
        <v>6.94</v>
      </c>
      <c r="K450" s="3">
        <v>6.13</v>
      </c>
      <c r="L450" s="21">
        <v>6.75</v>
      </c>
      <c r="M450" s="3">
        <v>0.71</v>
      </c>
      <c r="N450" s="2" t="s">
        <v>171</v>
      </c>
      <c r="O450" s="4" t="s">
        <v>28</v>
      </c>
      <c r="P450" s="18" t="s">
        <v>350</v>
      </c>
      <c r="Q450" s="5">
        <f t="shared" si="18"/>
        <v>5.9090000000000007</v>
      </c>
      <c r="R450" s="5">
        <f t="shared" si="19"/>
        <v>6.8450000000000006</v>
      </c>
      <c r="S450" s="5">
        <f t="shared" si="19"/>
        <v>3.42</v>
      </c>
      <c r="T450" s="23">
        <f>('Investor-Inputs'!$G$19 * Q450) + ('Investor-Inputs'!$J$19 * R450) + ('Investor-Inputs'!$N$19 * S450)</f>
        <v>34.837000000000003</v>
      </c>
      <c r="U450" s="27">
        <f t="shared" si="20"/>
        <v>399</v>
      </c>
    </row>
    <row r="451" spans="3:21" x14ac:dyDescent="0.25">
      <c r="C451" s="2" t="s">
        <v>189</v>
      </c>
      <c r="D451" s="2">
        <v>4</v>
      </c>
      <c r="E451" s="2" t="s">
        <v>14</v>
      </c>
      <c r="F451" s="2" t="s">
        <v>188</v>
      </c>
      <c r="G451" s="3">
        <v>5.83</v>
      </c>
      <c r="H451" s="3">
        <v>5.38</v>
      </c>
      <c r="I451" s="3">
        <v>6.84</v>
      </c>
      <c r="J451" s="3">
        <v>6.64</v>
      </c>
      <c r="K451" s="3">
        <v>5.86</v>
      </c>
      <c r="L451" s="21">
        <v>6.49</v>
      </c>
      <c r="M451" s="3">
        <v>0.67</v>
      </c>
      <c r="N451" s="2" t="s">
        <v>180</v>
      </c>
      <c r="O451" s="4" t="s">
        <v>24</v>
      </c>
      <c r="P451" s="18" t="s">
        <v>350</v>
      </c>
      <c r="Q451" s="5">
        <f t="shared" si="18"/>
        <v>5.6660000000000004</v>
      </c>
      <c r="R451" s="5">
        <f t="shared" si="19"/>
        <v>6.5649999999999995</v>
      </c>
      <c r="S451" s="5">
        <f t="shared" si="19"/>
        <v>3.2650000000000001</v>
      </c>
      <c r="T451" s="23">
        <f>('Investor-Inputs'!$G$19 * Q451) + ('Investor-Inputs'!$J$19 * R451) + ('Investor-Inputs'!$N$19 * S451)</f>
        <v>33.393000000000001</v>
      </c>
      <c r="U451" s="27">
        <f t="shared" si="20"/>
        <v>470</v>
      </c>
    </row>
    <row r="452" spans="3:21" x14ac:dyDescent="0.25">
      <c r="C452" s="2" t="s">
        <v>190</v>
      </c>
      <c r="D452" s="2">
        <v>4</v>
      </c>
      <c r="E452" s="2" t="s">
        <v>14</v>
      </c>
      <c r="F452" s="2" t="s">
        <v>188</v>
      </c>
      <c r="G452" s="3">
        <v>6.02</v>
      </c>
      <c r="H452" s="3">
        <v>5.58</v>
      </c>
      <c r="I452" s="3">
        <v>6.94</v>
      </c>
      <c r="J452" s="3">
        <v>6.74</v>
      </c>
      <c r="K452" s="3">
        <v>5.88</v>
      </c>
      <c r="L452" s="21">
        <v>6.55</v>
      </c>
      <c r="M452" s="3">
        <v>0.48</v>
      </c>
      <c r="N452" s="2" t="s">
        <v>180</v>
      </c>
      <c r="O452" s="4" t="s">
        <v>17</v>
      </c>
      <c r="P452" s="18" t="s">
        <v>350</v>
      </c>
      <c r="Q452" s="5">
        <f t="shared" si="18"/>
        <v>5.7160000000000002</v>
      </c>
      <c r="R452" s="5">
        <f t="shared" si="19"/>
        <v>6.6449999999999996</v>
      </c>
      <c r="S452" s="5">
        <f t="shared" si="19"/>
        <v>3.1799999999999997</v>
      </c>
      <c r="T452" s="23">
        <f>('Investor-Inputs'!$G$19 * Q452) + ('Investor-Inputs'!$J$19 * R452) + ('Investor-Inputs'!$N$19 * S452)</f>
        <v>33.617999999999995</v>
      </c>
      <c r="U452" s="27">
        <f t="shared" si="20"/>
        <v>460</v>
      </c>
    </row>
    <row r="453" spans="3:21" x14ac:dyDescent="0.25">
      <c r="C453" s="2" t="s">
        <v>191</v>
      </c>
      <c r="D453" s="2">
        <v>5</v>
      </c>
      <c r="E453" s="2" t="s">
        <v>14</v>
      </c>
      <c r="F453" s="2" t="s">
        <v>188</v>
      </c>
      <c r="G453" s="3">
        <v>6.42</v>
      </c>
      <c r="H453" s="3">
        <v>5.9</v>
      </c>
      <c r="I453" s="3">
        <v>7.47</v>
      </c>
      <c r="J453" s="3">
        <v>7.18</v>
      </c>
      <c r="K453" s="3">
        <v>6.48</v>
      </c>
      <c r="L453" s="21">
        <v>7.05</v>
      </c>
      <c r="M453" s="3">
        <v>0.57999999999999996</v>
      </c>
      <c r="N453" s="2" t="s">
        <v>180</v>
      </c>
      <c r="O453" s="4" t="s">
        <v>28</v>
      </c>
      <c r="P453" s="18" t="s">
        <v>350</v>
      </c>
      <c r="Q453" s="5">
        <f t="shared" si="18"/>
        <v>6.2279999999999998</v>
      </c>
      <c r="R453" s="5">
        <f t="shared" si="19"/>
        <v>7.1150000000000002</v>
      </c>
      <c r="S453" s="5">
        <f t="shared" si="19"/>
        <v>3.5300000000000002</v>
      </c>
      <c r="T453" s="23">
        <f>('Investor-Inputs'!$G$19 * Q453) + ('Investor-Inputs'!$J$19 * R453) + ('Investor-Inputs'!$N$19 * S453)</f>
        <v>36.444000000000003</v>
      </c>
      <c r="U453" s="27">
        <f t="shared" si="20"/>
        <v>347</v>
      </c>
    </row>
    <row r="454" spans="3:21" x14ac:dyDescent="0.25">
      <c r="C454" s="2" t="s">
        <v>192</v>
      </c>
      <c r="D454" s="2">
        <v>4</v>
      </c>
      <c r="E454" s="2" t="s">
        <v>14</v>
      </c>
      <c r="F454" s="2" t="s">
        <v>188</v>
      </c>
      <c r="G454" s="3">
        <v>5.95</v>
      </c>
      <c r="H454" s="3">
        <v>5.48</v>
      </c>
      <c r="I454" s="3">
        <v>6.94</v>
      </c>
      <c r="J454" s="3">
        <v>6.73</v>
      </c>
      <c r="K454" s="3">
        <v>5.88</v>
      </c>
      <c r="L454" s="21">
        <v>6.54</v>
      </c>
      <c r="M454" s="3">
        <v>0.74</v>
      </c>
      <c r="N454" s="2" t="s">
        <v>180</v>
      </c>
      <c r="O454" s="4" t="s">
        <v>17</v>
      </c>
      <c r="P454" s="18" t="s">
        <v>350</v>
      </c>
      <c r="Q454" s="5">
        <f t="shared" si="18"/>
        <v>5.7160000000000002</v>
      </c>
      <c r="R454" s="5">
        <f t="shared" si="19"/>
        <v>6.6349999999999998</v>
      </c>
      <c r="S454" s="5">
        <f t="shared" si="19"/>
        <v>3.31</v>
      </c>
      <c r="T454" s="23">
        <f>('Investor-Inputs'!$G$19 * Q454) + ('Investor-Inputs'!$J$19 * R454) + ('Investor-Inputs'!$N$19 * S454)</f>
        <v>33.728000000000002</v>
      </c>
      <c r="U454" s="27">
        <f t="shared" si="20"/>
        <v>452</v>
      </c>
    </row>
    <row r="455" spans="3:21" x14ac:dyDescent="0.25">
      <c r="C455" s="2" t="s">
        <v>193</v>
      </c>
      <c r="D455" s="2">
        <v>4</v>
      </c>
      <c r="E455" s="2" t="s">
        <v>14</v>
      </c>
      <c r="F455" s="2" t="s">
        <v>188</v>
      </c>
      <c r="G455" s="3">
        <v>5.89</v>
      </c>
      <c r="H455" s="3">
        <v>5.48</v>
      </c>
      <c r="I455" s="3">
        <v>6.88</v>
      </c>
      <c r="J455" s="3">
        <v>6.69</v>
      </c>
      <c r="K455" s="3">
        <v>5.91</v>
      </c>
      <c r="L455" s="21">
        <v>6.52</v>
      </c>
      <c r="M455" s="3">
        <v>0.6</v>
      </c>
      <c r="N455" s="2" t="s">
        <v>180</v>
      </c>
      <c r="O455" s="4" t="s">
        <v>17</v>
      </c>
      <c r="P455" s="18" t="s">
        <v>350</v>
      </c>
      <c r="Q455" s="5">
        <f t="shared" si="18"/>
        <v>5.7070000000000007</v>
      </c>
      <c r="R455" s="5">
        <f t="shared" si="19"/>
        <v>6.6050000000000004</v>
      </c>
      <c r="S455" s="5">
        <f t="shared" si="19"/>
        <v>3.2549999999999999</v>
      </c>
      <c r="T455" s="23">
        <f>('Investor-Inputs'!$G$19 * Q455) + ('Investor-Inputs'!$J$19 * R455) + ('Investor-Inputs'!$N$19 * S455)</f>
        <v>33.586000000000006</v>
      </c>
      <c r="U455" s="27">
        <f t="shared" si="20"/>
        <v>462</v>
      </c>
    </row>
    <row r="456" spans="3:21" x14ac:dyDescent="0.25">
      <c r="C456" s="2" t="s">
        <v>194</v>
      </c>
      <c r="D456" s="2">
        <v>4</v>
      </c>
      <c r="E456" s="2" t="s">
        <v>14</v>
      </c>
      <c r="F456" s="2" t="s">
        <v>188</v>
      </c>
      <c r="G456" s="3">
        <v>6.21</v>
      </c>
      <c r="H456" s="3">
        <v>5.75</v>
      </c>
      <c r="I456" s="3">
        <v>7.17</v>
      </c>
      <c r="J456" s="3">
        <v>6.99</v>
      </c>
      <c r="K456" s="3">
        <v>7.24</v>
      </c>
      <c r="L456" s="21">
        <v>7</v>
      </c>
      <c r="M456" s="3">
        <v>0.42</v>
      </c>
      <c r="N456" s="2" t="s">
        <v>171</v>
      </c>
      <c r="O456" s="4" t="s">
        <v>17</v>
      </c>
      <c r="P456" s="18" t="s">
        <v>350</v>
      </c>
      <c r="Q456" s="5">
        <f t="shared" ref="Q456:Q519" si="21">I456*0.4+K456*0.5</f>
        <v>6.4880000000000004</v>
      </c>
      <c r="R456" s="5">
        <f t="shared" ref="R456:S519" si="22">(L456+J456)/2</f>
        <v>6.9950000000000001</v>
      </c>
      <c r="S456" s="5">
        <f t="shared" si="22"/>
        <v>3.83</v>
      </c>
      <c r="T456" s="23">
        <f>('Investor-Inputs'!$G$19 * Q456) + ('Investor-Inputs'!$J$19 * R456) + ('Investor-Inputs'!$N$19 * S456)</f>
        <v>37.283999999999999</v>
      </c>
      <c r="U456" s="27">
        <f t="shared" ref="U456:U519" si="23">_xlfn.RANK.EQ(T456,$T$7:$T$592,0)</f>
        <v>337</v>
      </c>
    </row>
    <row r="457" spans="3:21" x14ac:dyDescent="0.25">
      <c r="C457" s="2" t="s">
        <v>195</v>
      </c>
      <c r="D457" s="2">
        <v>4</v>
      </c>
      <c r="E457" s="2" t="s">
        <v>14</v>
      </c>
      <c r="F457" s="2" t="s">
        <v>196</v>
      </c>
      <c r="G457" s="3">
        <v>6.45</v>
      </c>
      <c r="H457" s="3">
        <v>6.11</v>
      </c>
      <c r="I457" s="3">
        <v>7.29</v>
      </c>
      <c r="J457" s="3">
        <v>7.1</v>
      </c>
      <c r="K457" s="3">
        <v>6.32</v>
      </c>
      <c r="L457" s="21">
        <v>6.92</v>
      </c>
      <c r="M457" s="3">
        <v>0.57999999999999996</v>
      </c>
      <c r="N457" s="2" t="s">
        <v>171</v>
      </c>
      <c r="O457" s="4" t="s">
        <v>28</v>
      </c>
      <c r="P457" s="18" t="s">
        <v>350</v>
      </c>
      <c r="Q457" s="5">
        <f t="shared" si="21"/>
        <v>6.0760000000000005</v>
      </c>
      <c r="R457" s="5">
        <f t="shared" si="22"/>
        <v>7.01</v>
      </c>
      <c r="S457" s="5">
        <f t="shared" si="22"/>
        <v>3.45</v>
      </c>
      <c r="T457" s="23">
        <f>('Investor-Inputs'!$G$19 * Q457) + ('Investor-Inputs'!$J$19 * R457) + ('Investor-Inputs'!$N$19 * S457)</f>
        <v>35.698000000000008</v>
      </c>
      <c r="U457" s="27">
        <f t="shared" si="23"/>
        <v>365</v>
      </c>
    </row>
    <row r="458" spans="3:21" x14ac:dyDescent="0.25">
      <c r="C458" s="2" t="s">
        <v>197</v>
      </c>
      <c r="D458" s="2">
        <v>4</v>
      </c>
      <c r="E458" s="2" t="s">
        <v>14</v>
      </c>
      <c r="F458" s="2" t="s">
        <v>196</v>
      </c>
      <c r="G458" s="3">
        <v>6.23</v>
      </c>
      <c r="H458" s="3">
        <v>6.07</v>
      </c>
      <c r="I458" s="3">
        <v>6.97</v>
      </c>
      <c r="J458" s="3">
        <v>6.8</v>
      </c>
      <c r="K458" s="3">
        <v>5.98</v>
      </c>
      <c r="L458" s="21">
        <v>6.62</v>
      </c>
      <c r="M458" s="3">
        <v>0.47</v>
      </c>
      <c r="N458" s="2" t="s">
        <v>180</v>
      </c>
      <c r="O458" s="4" t="s">
        <v>17</v>
      </c>
      <c r="P458" s="18" t="s">
        <v>350</v>
      </c>
      <c r="Q458" s="5">
        <f t="shared" si="21"/>
        <v>5.7780000000000005</v>
      </c>
      <c r="R458" s="5">
        <f t="shared" si="22"/>
        <v>6.71</v>
      </c>
      <c r="S458" s="5">
        <f t="shared" si="22"/>
        <v>3.2250000000000001</v>
      </c>
      <c r="T458" s="23">
        <f>('Investor-Inputs'!$G$19 * Q458) + ('Investor-Inputs'!$J$19 * R458) + ('Investor-Inputs'!$N$19 * S458)</f>
        <v>33.979000000000006</v>
      </c>
      <c r="U458" s="27">
        <f t="shared" si="23"/>
        <v>430</v>
      </c>
    </row>
    <row r="459" spans="3:21" x14ac:dyDescent="0.25">
      <c r="C459" s="2" t="s">
        <v>198</v>
      </c>
      <c r="D459" s="2">
        <v>5</v>
      </c>
      <c r="E459" s="2" t="s">
        <v>14</v>
      </c>
      <c r="F459" s="2" t="s">
        <v>196</v>
      </c>
      <c r="G459" s="3">
        <v>6.3</v>
      </c>
      <c r="H459" s="3">
        <v>6.13</v>
      </c>
      <c r="I459" s="3">
        <v>7.06</v>
      </c>
      <c r="J459" s="3">
        <v>6.87</v>
      </c>
      <c r="K459" s="3">
        <v>6.19</v>
      </c>
      <c r="L459" s="21">
        <v>6.76</v>
      </c>
      <c r="M459" s="3">
        <v>0.43</v>
      </c>
      <c r="N459" s="2" t="s">
        <v>180</v>
      </c>
      <c r="O459" s="4" t="s">
        <v>17</v>
      </c>
      <c r="P459" s="18" t="s">
        <v>350</v>
      </c>
      <c r="Q459" s="5">
        <f t="shared" si="21"/>
        <v>5.9190000000000005</v>
      </c>
      <c r="R459" s="5">
        <f t="shared" si="22"/>
        <v>6.8149999999999995</v>
      </c>
      <c r="S459" s="5">
        <f t="shared" si="22"/>
        <v>3.31</v>
      </c>
      <c r="T459" s="23">
        <f>('Investor-Inputs'!$G$19 * Q459) + ('Investor-Inputs'!$J$19 * R459) + ('Investor-Inputs'!$N$19 * S459)</f>
        <v>34.697000000000003</v>
      </c>
      <c r="U459" s="27">
        <f t="shared" si="23"/>
        <v>405</v>
      </c>
    </row>
    <row r="460" spans="3:21" x14ac:dyDescent="0.25">
      <c r="C460" s="2" t="s">
        <v>199</v>
      </c>
      <c r="D460" s="2">
        <v>4</v>
      </c>
      <c r="E460" s="2" t="s">
        <v>14</v>
      </c>
      <c r="F460" s="2" t="s">
        <v>196</v>
      </c>
      <c r="G460" s="3">
        <v>6.28</v>
      </c>
      <c r="H460" s="3">
        <v>6.14</v>
      </c>
      <c r="I460" s="3">
        <v>6.99</v>
      </c>
      <c r="J460" s="3">
        <v>6.84</v>
      </c>
      <c r="K460" s="3">
        <v>6.02</v>
      </c>
      <c r="L460" s="21">
        <v>6.66</v>
      </c>
      <c r="M460" s="3">
        <v>0.42</v>
      </c>
      <c r="N460" s="2" t="s">
        <v>180</v>
      </c>
      <c r="O460" s="4" t="s">
        <v>17</v>
      </c>
      <c r="P460" s="18" t="s">
        <v>350</v>
      </c>
      <c r="Q460" s="5">
        <f t="shared" si="21"/>
        <v>5.806</v>
      </c>
      <c r="R460" s="5">
        <f t="shared" si="22"/>
        <v>6.75</v>
      </c>
      <c r="S460" s="5">
        <f t="shared" si="22"/>
        <v>3.2199999999999998</v>
      </c>
      <c r="T460" s="23">
        <f>('Investor-Inputs'!$G$19 * Q460) + ('Investor-Inputs'!$J$19 * R460) + ('Investor-Inputs'!$N$19 * S460)</f>
        <v>34.137999999999998</v>
      </c>
      <c r="U460" s="27">
        <f t="shared" si="23"/>
        <v>418</v>
      </c>
    </row>
    <row r="461" spans="3:21" x14ac:dyDescent="0.25">
      <c r="C461" s="2" t="s">
        <v>200</v>
      </c>
      <c r="D461" s="2">
        <v>4</v>
      </c>
      <c r="E461" s="2" t="s">
        <v>14</v>
      </c>
      <c r="F461" s="2" t="s">
        <v>196</v>
      </c>
      <c r="G461" s="3">
        <v>6.33</v>
      </c>
      <c r="H461" s="3">
        <v>6.04</v>
      </c>
      <c r="I461" s="3">
        <v>7</v>
      </c>
      <c r="J461" s="3">
        <v>6.85</v>
      </c>
      <c r="K461" s="3">
        <v>6.1</v>
      </c>
      <c r="L461" s="21">
        <v>6.67</v>
      </c>
      <c r="M461" s="3">
        <v>0.77</v>
      </c>
      <c r="N461" s="2" t="s">
        <v>171</v>
      </c>
      <c r="O461" s="4" t="s">
        <v>17</v>
      </c>
      <c r="P461" s="18" t="s">
        <v>350</v>
      </c>
      <c r="Q461" s="5">
        <f t="shared" si="21"/>
        <v>5.85</v>
      </c>
      <c r="R461" s="5">
        <f t="shared" si="22"/>
        <v>6.76</v>
      </c>
      <c r="S461" s="5">
        <f t="shared" si="22"/>
        <v>3.4349999999999996</v>
      </c>
      <c r="T461" s="23">
        <f>('Investor-Inputs'!$G$19 * Q461) + ('Investor-Inputs'!$J$19 * R461) + ('Investor-Inputs'!$N$19 * S461)</f>
        <v>34.504999999999995</v>
      </c>
      <c r="U461" s="27">
        <f t="shared" si="23"/>
        <v>409</v>
      </c>
    </row>
    <row r="462" spans="3:21" x14ac:dyDescent="0.25">
      <c r="C462" s="2" t="s">
        <v>201</v>
      </c>
      <c r="D462" s="2">
        <v>4</v>
      </c>
      <c r="E462" s="2" t="s">
        <v>14</v>
      </c>
      <c r="F462" s="2" t="s">
        <v>196</v>
      </c>
      <c r="G462" s="3">
        <v>6.06</v>
      </c>
      <c r="H462" s="3">
        <v>5.91</v>
      </c>
      <c r="I462" s="3">
        <v>6.85</v>
      </c>
      <c r="J462" s="3">
        <v>6.7</v>
      </c>
      <c r="K462" s="3">
        <v>5.78</v>
      </c>
      <c r="L462" s="21">
        <v>6.47</v>
      </c>
      <c r="M462" s="3">
        <v>0.83</v>
      </c>
      <c r="N462" s="2" t="s">
        <v>171</v>
      </c>
      <c r="O462" s="4" t="s">
        <v>24</v>
      </c>
      <c r="P462" s="18" t="s">
        <v>350</v>
      </c>
      <c r="Q462" s="5">
        <f t="shared" si="21"/>
        <v>5.6300000000000008</v>
      </c>
      <c r="R462" s="5">
        <f t="shared" si="22"/>
        <v>6.585</v>
      </c>
      <c r="S462" s="5">
        <f t="shared" si="22"/>
        <v>3.3050000000000002</v>
      </c>
      <c r="T462" s="23">
        <f>('Investor-Inputs'!$G$19 * Q462) + ('Investor-Inputs'!$J$19 * R462) + ('Investor-Inputs'!$N$19 * S462)</f>
        <v>33.365000000000002</v>
      </c>
      <c r="U462" s="27">
        <f t="shared" si="23"/>
        <v>476</v>
      </c>
    </row>
    <row r="463" spans="3:21" x14ac:dyDescent="0.25">
      <c r="C463" s="2" t="s">
        <v>202</v>
      </c>
      <c r="D463" s="2">
        <v>5</v>
      </c>
      <c r="E463" s="2" t="s">
        <v>14</v>
      </c>
      <c r="F463" s="2" t="s">
        <v>196</v>
      </c>
      <c r="G463" s="3">
        <v>6.36</v>
      </c>
      <c r="H463" s="3">
        <v>6.13</v>
      </c>
      <c r="I463" s="3">
        <v>7.16</v>
      </c>
      <c r="J463" s="3">
        <v>6.97</v>
      </c>
      <c r="K463" s="3">
        <v>6.17</v>
      </c>
      <c r="L463" s="21">
        <v>6.79</v>
      </c>
      <c r="M463" s="3">
        <v>0.51</v>
      </c>
      <c r="N463" s="2" t="s">
        <v>180</v>
      </c>
      <c r="O463" s="4" t="s">
        <v>28</v>
      </c>
      <c r="P463" s="18" t="s">
        <v>350</v>
      </c>
      <c r="Q463" s="5">
        <f t="shared" si="21"/>
        <v>5.9489999999999998</v>
      </c>
      <c r="R463" s="5">
        <f t="shared" si="22"/>
        <v>6.88</v>
      </c>
      <c r="S463" s="5">
        <f t="shared" si="22"/>
        <v>3.34</v>
      </c>
      <c r="T463" s="23">
        <f>('Investor-Inputs'!$G$19 * Q463) + ('Investor-Inputs'!$J$19 * R463) + ('Investor-Inputs'!$N$19 * S463)</f>
        <v>34.947000000000003</v>
      </c>
      <c r="U463" s="27">
        <f t="shared" si="23"/>
        <v>395</v>
      </c>
    </row>
    <row r="464" spans="3:21" x14ac:dyDescent="0.25">
      <c r="C464" s="2" t="s">
        <v>203</v>
      </c>
      <c r="D464" s="2">
        <v>5</v>
      </c>
      <c r="E464" s="2" t="s">
        <v>14</v>
      </c>
      <c r="F464" s="2" t="s">
        <v>196</v>
      </c>
      <c r="G464" s="3">
        <v>6.19</v>
      </c>
      <c r="H464" s="3">
        <v>5.97</v>
      </c>
      <c r="I464" s="3">
        <v>6.96</v>
      </c>
      <c r="J464" s="3">
        <v>6.78</v>
      </c>
      <c r="K464" s="3">
        <v>5.98</v>
      </c>
      <c r="L464" s="21">
        <v>6.61</v>
      </c>
      <c r="M464" s="3">
        <v>0.56000000000000005</v>
      </c>
      <c r="N464" s="2" t="s">
        <v>171</v>
      </c>
      <c r="O464" s="4" t="s">
        <v>17</v>
      </c>
      <c r="P464" s="18" t="s">
        <v>350</v>
      </c>
      <c r="Q464" s="5">
        <f t="shared" si="21"/>
        <v>5.7740000000000009</v>
      </c>
      <c r="R464" s="5">
        <f t="shared" si="22"/>
        <v>6.6950000000000003</v>
      </c>
      <c r="S464" s="5">
        <f t="shared" si="22"/>
        <v>3.2700000000000005</v>
      </c>
      <c r="T464" s="23">
        <f>('Investor-Inputs'!$G$19 * Q464) + ('Investor-Inputs'!$J$19 * R464) + ('Investor-Inputs'!$N$19 * S464)</f>
        <v>33.982000000000006</v>
      </c>
      <c r="U464" s="27">
        <f t="shared" si="23"/>
        <v>428</v>
      </c>
    </row>
    <row r="465" spans="3:21" x14ac:dyDescent="0.25">
      <c r="C465" s="2" t="s">
        <v>204</v>
      </c>
      <c r="D465" s="2">
        <v>4</v>
      </c>
      <c r="E465" s="2" t="s">
        <v>14</v>
      </c>
      <c r="F465" s="2" t="s">
        <v>205</v>
      </c>
      <c r="G465" s="3">
        <v>6.22</v>
      </c>
      <c r="H465" s="3">
        <v>6.35</v>
      </c>
      <c r="I465" s="3">
        <v>6.91</v>
      </c>
      <c r="J465" s="3">
        <v>6.74</v>
      </c>
      <c r="K465" s="3">
        <v>6.02</v>
      </c>
      <c r="L465" s="21">
        <v>6.6</v>
      </c>
      <c r="M465" s="3">
        <v>0.35</v>
      </c>
      <c r="N465" s="2" t="s">
        <v>171</v>
      </c>
      <c r="O465" s="4" t="s">
        <v>17</v>
      </c>
      <c r="P465" s="18" t="s">
        <v>350</v>
      </c>
      <c r="Q465" s="5">
        <f t="shared" si="21"/>
        <v>5.774</v>
      </c>
      <c r="R465" s="5">
        <f t="shared" si="22"/>
        <v>6.67</v>
      </c>
      <c r="S465" s="5">
        <f t="shared" si="22"/>
        <v>3.1849999999999996</v>
      </c>
      <c r="T465" s="23">
        <f>('Investor-Inputs'!$G$19 * Q465) + ('Investor-Inputs'!$J$19 * R465) + ('Investor-Inputs'!$N$19 * S465)</f>
        <v>33.847000000000001</v>
      </c>
      <c r="U465" s="27">
        <f t="shared" si="23"/>
        <v>442</v>
      </c>
    </row>
    <row r="466" spans="3:21" x14ac:dyDescent="0.25">
      <c r="C466" s="2" t="s">
        <v>206</v>
      </c>
      <c r="D466" s="2">
        <v>4</v>
      </c>
      <c r="E466" s="2" t="s">
        <v>14</v>
      </c>
      <c r="F466" s="2" t="s">
        <v>205</v>
      </c>
      <c r="G466" s="3">
        <v>6.26</v>
      </c>
      <c r="H466" s="3">
        <v>6.39</v>
      </c>
      <c r="I466" s="3">
        <v>6.95</v>
      </c>
      <c r="J466" s="3">
        <v>6.78</v>
      </c>
      <c r="K466" s="3">
        <v>6.05</v>
      </c>
      <c r="L466" s="21">
        <v>6.64</v>
      </c>
      <c r="M466" s="3">
        <v>0.21</v>
      </c>
      <c r="N466" s="2" t="s">
        <v>171</v>
      </c>
      <c r="O466" s="4" t="s">
        <v>17</v>
      </c>
      <c r="P466" s="18" t="s">
        <v>350</v>
      </c>
      <c r="Q466" s="5">
        <f t="shared" si="21"/>
        <v>5.8049999999999997</v>
      </c>
      <c r="R466" s="5">
        <f t="shared" si="22"/>
        <v>6.71</v>
      </c>
      <c r="S466" s="5">
        <f t="shared" si="22"/>
        <v>3.13</v>
      </c>
      <c r="T466" s="23">
        <f>('Investor-Inputs'!$G$19 * Q466) + ('Investor-Inputs'!$J$19 * R466) + ('Investor-Inputs'!$N$19 * S466)</f>
        <v>33.965000000000003</v>
      </c>
      <c r="U466" s="27">
        <f t="shared" si="23"/>
        <v>432</v>
      </c>
    </row>
    <row r="467" spans="3:21" x14ac:dyDescent="0.25">
      <c r="C467" s="2" t="s">
        <v>207</v>
      </c>
      <c r="D467" s="2">
        <v>5</v>
      </c>
      <c r="E467" s="2" t="s">
        <v>14</v>
      </c>
      <c r="F467" s="2" t="s">
        <v>205</v>
      </c>
      <c r="G467" s="3">
        <v>6.26</v>
      </c>
      <c r="H467" s="3">
        <v>6.36</v>
      </c>
      <c r="I467" s="3">
        <v>6.98</v>
      </c>
      <c r="J467" s="3">
        <v>6.79</v>
      </c>
      <c r="K467" s="3">
        <v>6.06</v>
      </c>
      <c r="L467" s="21">
        <v>6.65</v>
      </c>
      <c r="M467" s="3">
        <v>0.14000000000000001</v>
      </c>
      <c r="N467" s="2" t="s">
        <v>180</v>
      </c>
      <c r="O467" s="4" t="s">
        <v>28</v>
      </c>
      <c r="P467" s="18" t="s">
        <v>350</v>
      </c>
      <c r="Q467" s="5">
        <f t="shared" si="21"/>
        <v>5.8220000000000001</v>
      </c>
      <c r="R467" s="5">
        <f t="shared" si="22"/>
        <v>6.7200000000000006</v>
      </c>
      <c r="S467" s="5">
        <f t="shared" si="22"/>
        <v>3.0999999999999996</v>
      </c>
      <c r="T467" s="23">
        <f>('Investor-Inputs'!$G$19 * Q467) + ('Investor-Inputs'!$J$19 * R467) + ('Investor-Inputs'!$N$19 * S467)</f>
        <v>34.006</v>
      </c>
      <c r="U467" s="27">
        <f t="shared" si="23"/>
        <v>424</v>
      </c>
    </row>
    <row r="468" spans="3:21" x14ac:dyDescent="0.25">
      <c r="C468" s="2" t="s">
        <v>208</v>
      </c>
      <c r="D468" s="2">
        <v>4</v>
      </c>
      <c r="E468" s="2" t="s">
        <v>14</v>
      </c>
      <c r="F468" s="2" t="s">
        <v>205</v>
      </c>
      <c r="G468" s="3">
        <v>6.24</v>
      </c>
      <c r="H468" s="3">
        <v>6.37</v>
      </c>
      <c r="I468" s="3">
        <v>6.92</v>
      </c>
      <c r="J468" s="3">
        <v>6.76</v>
      </c>
      <c r="K468" s="3">
        <v>6</v>
      </c>
      <c r="L468" s="21">
        <v>6.6</v>
      </c>
      <c r="M468" s="3">
        <v>0.21</v>
      </c>
      <c r="N468" s="2" t="s">
        <v>180</v>
      </c>
      <c r="O468" s="4" t="s">
        <v>17</v>
      </c>
      <c r="P468" s="18" t="s">
        <v>350</v>
      </c>
      <c r="Q468" s="5">
        <f t="shared" si="21"/>
        <v>5.7680000000000007</v>
      </c>
      <c r="R468" s="5">
        <f t="shared" si="22"/>
        <v>6.68</v>
      </c>
      <c r="S468" s="5">
        <f t="shared" si="22"/>
        <v>3.105</v>
      </c>
      <c r="T468" s="23">
        <f>('Investor-Inputs'!$G$19 * Q468) + ('Investor-Inputs'!$J$19 * R468) + ('Investor-Inputs'!$N$19 * S468)</f>
        <v>33.768999999999998</v>
      </c>
      <c r="U468" s="27">
        <f t="shared" si="23"/>
        <v>450</v>
      </c>
    </row>
    <row r="469" spans="3:21" x14ac:dyDescent="0.25">
      <c r="C469" s="2" t="s">
        <v>209</v>
      </c>
      <c r="D469" s="2">
        <v>5</v>
      </c>
      <c r="E469" s="2" t="s">
        <v>14</v>
      </c>
      <c r="F469" s="2" t="s">
        <v>205</v>
      </c>
      <c r="G469" s="3">
        <v>6.26</v>
      </c>
      <c r="H469" s="3">
        <v>6.37</v>
      </c>
      <c r="I469" s="3">
        <v>6.89</v>
      </c>
      <c r="J469" s="3">
        <v>6.75</v>
      </c>
      <c r="K469" s="3">
        <v>5.94</v>
      </c>
      <c r="L469" s="21">
        <v>6.56</v>
      </c>
      <c r="M469" s="3">
        <v>0.19</v>
      </c>
      <c r="N469" s="2" t="s">
        <v>180</v>
      </c>
      <c r="O469" s="4" t="s">
        <v>28</v>
      </c>
      <c r="P469" s="18" t="s">
        <v>350</v>
      </c>
      <c r="Q469" s="5">
        <f t="shared" si="21"/>
        <v>5.7260000000000009</v>
      </c>
      <c r="R469" s="5">
        <f t="shared" si="22"/>
        <v>6.6549999999999994</v>
      </c>
      <c r="S469" s="5">
        <f t="shared" si="22"/>
        <v>3.0650000000000004</v>
      </c>
      <c r="T469" s="23">
        <f>('Investor-Inputs'!$G$19 * Q469) + ('Investor-Inputs'!$J$19 * R469) + ('Investor-Inputs'!$N$19 * S469)</f>
        <v>33.553000000000004</v>
      </c>
      <c r="U469" s="27">
        <f t="shared" si="23"/>
        <v>466</v>
      </c>
    </row>
    <row r="470" spans="3:21" x14ac:dyDescent="0.25">
      <c r="C470" s="2" t="s">
        <v>210</v>
      </c>
      <c r="D470" s="2">
        <v>4</v>
      </c>
      <c r="E470" s="2" t="s">
        <v>14</v>
      </c>
      <c r="F470" s="2" t="s">
        <v>205</v>
      </c>
      <c r="G470" s="3">
        <v>6.24</v>
      </c>
      <c r="H470" s="3">
        <v>6.32</v>
      </c>
      <c r="I470" s="3">
        <v>6.94</v>
      </c>
      <c r="J470" s="3">
        <v>6.77</v>
      </c>
      <c r="K470" s="3">
        <v>6.02</v>
      </c>
      <c r="L470" s="21">
        <v>6.62</v>
      </c>
      <c r="M470" s="3">
        <v>0.2</v>
      </c>
      <c r="N470" s="2" t="s">
        <v>180</v>
      </c>
      <c r="O470" s="4" t="s">
        <v>28</v>
      </c>
      <c r="P470" s="18" t="s">
        <v>350</v>
      </c>
      <c r="Q470" s="5">
        <f t="shared" si="21"/>
        <v>5.7859999999999996</v>
      </c>
      <c r="R470" s="5">
        <f t="shared" si="22"/>
        <v>6.6950000000000003</v>
      </c>
      <c r="S470" s="5">
        <f t="shared" si="22"/>
        <v>3.11</v>
      </c>
      <c r="T470" s="23">
        <f>('Investor-Inputs'!$G$19 * Q470) + ('Investor-Inputs'!$J$19 * R470) + ('Investor-Inputs'!$N$19 * S470)</f>
        <v>33.857999999999997</v>
      </c>
      <c r="U470" s="27">
        <f t="shared" si="23"/>
        <v>440</v>
      </c>
    </row>
    <row r="471" spans="3:21" x14ac:dyDescent="0.25">
      <c r="C471" s="2" t="s">
        <v>211</v>
      </c>
      <c r="D471" s="2">
        <v>4</v>
      </c>
      <c r="E471" s="2" t="s">
        <v>14</v>
      </c>
      <c r="F471" s="2" t="s">
        <v>205</v>
      </c>
      <c r="G471" s="3">
        <v>6.2</v>
      </c>
      <c r="H471" s="3">
        <v>6.3</v>
      </c>
      <c r="I471" s="3">
        <v>6.89</v>
      </c>
      <c r="J471" s="3">
        <v>6.74</v>
      </c>
      <c r="K471" s="3">
        <v>5.87</v>
      </c>
      <c r="L471" s="21">
        <v>6.53</v>
      </c>
      <c r="M471" s="3">
        <v>0.2</v>
      </c>
      <c r="N471" s="2" t="s">
        <v>180</v>
      </c>
      <c r="O471" s="4" t="s">
        <v>17</v>
      </c>
      <c r="P471" s="18" t="s">
        <v>350</v>
      </c>
      <c r="Q471" s="5">
        <f t="shared" si="21"/>
        <v>5.6910000000000007</v>
      </c>
      <c r="R471" s="5">
        <f t="shared" si="22"/>
        <v>6.6349999999999998</v>
      </c>
      <c r="S471" s="5">
        <f t="shared" si="22"/>
        <v>3.0350000000000001</v>
      </c>
      <c r="T471" s="23">
        <f>('Investor-Inputs'!$G$19 * Q471) + ('Investor-Inputs'!$J$19 * R471) + ('Investor-Inputs'!$N$19 * S471)</f>
        <v>33.378</v>
      </c>
      <c r="U471" s="27">
        <f t="shared" si="23"/>
        <v>472</v>
      </c>
    </row>
    <row r="472" spans="3:21" x14ac:dyDescent="0.25">
      <c r="C472" s="2" t="s">
        <v>212</v>
      </c>
      <c r="D472" s="2">
        <v>5</v>
      </c>
      <c r="E472" s="2" t="s">
        <v>14</v>
      </c>
      <c r="F472" s="2" t="s">
        <v>205</v>
      </c>
      <c r="G472" s="3">
        <v>6.22</v>
      </c>
      <c r="H472" s="3">
        <v>6.33</v>
      </c>
      <c r="I472" s="3">
        <v>6.92</v>
      </c>
      <c r="J472" s="3">
        <v>6.74</v>
      </c>
      <c r="K472" s="3">
        <v>6.01</v>
      </c>
      <c r="L472" s="21">
        <v>6.59</v>
      </c>
      <c r="M472" s="3">
        <v>0.24</v>
      </c>
      <c r="N472" s="2" t="s">
        <v>180</v>
      </c>
      <c r="O472" s="4" t="s">
        <v>28</v>
      </c>
      <c r="P472" s="18" t="s">
        <v>350</v>
      </c>
      <c r="Q472" s="5">
        <f t="shared" si="21"/>
        <v>5.7729999999999997</v>
      </c>
      <c r="R472" s="5">
        <f t="shared" si="22"/>
        <v>6.665</v>
      </c>
      <c r="S472" s="5">
        <f t="shared" si="22"/>
        <v>3.125</v>
      </c>
      <c r="T472" s="23">
        <f>('Investor-Inputs'!$G$19 * Q472) + ('Investor-Inputs'!$J$19 * R472) + ('Investor-Inputs'!$N$19 * S472)</f>
        <v>33.774000000000001</v>
      </c>
      <c r="U472" s="27">
        <f t="shared" si="23"/>
        <v>446</v>
      </c>
    </row>
    <row r="473" spans="3:21" x14ac:dyDescent="0.25">
      <c r="C473" s="2" t="s">
        <v>213</v>
      </c>
      <c r="D473" s="2">
        <v>4</v>
      </c>
      <c r="E473" s="2" t="s">
        <v>14</v>
      </c>
      <c r="F473" s="2" t="s">
        <v>205</v>
      </c>
      <c r="G473" s="3">
        <v>6.21</v>
      </c>
      <c r="H473" s="3">
        <v>6.32</v>
      </c>
      <c r="I473" s="3">
        <v>6.91</v>
      </c>
      <c r="J473" s="3">
        <v>6.73</v>
      </c>
      <c r="K473" s="3">
        <v>6.02</v>
      </c>
      <c r="L473" s="21">
        <v>6.6</v>
      </c>
      <c r="M473" s="3">
        <v>0.26</v>
      </c>
      <c r="N473" s="2" t="s">
        <v>171</v>
      </c>
      <c r="O473" s="4" t="s">
        <v>17</v>
      </c>
      <c r="P473" s="18" t="s">
        <v>350</v>
      </c>
      <c r="Q473" s="5">
        <f t="shared" si="21"/>
        <v>5.774</v>
      </c>
      <c r="R473" s="5">
        <f t="shared" si="22"/>
        <v>6.665</v>
      </c>
      <c r="S473" s="5">
        <f t="shared" si="22"/>
        <v>3.1399999999999997</v>
      </c>
      <c r="T473" s="23">
        <f>('Investor-Inputs'!$G$19 * Q473) + ('Investor-Inputs'!$J$19 * R473) + ('Investor-Inputs'!$N$19 * S473)</f>
        <v>33.792000000000002</v>
      </c>
      <c r="U473" s="27">
        <f t="shared" si="23"/>
        <v>444</v>
      </c>
    </row>
    <row r="474" spans="3:21" x14ac:dyDescent="0.25">
      <c r="C474" s="2" t="s">
        <v>214</v>
      </c>
      <c r="D474" s="2">
        <v>4</v>
      </c>
      <c r="E474" s="2" t="s">
        <v>14</v>
      </c>
      <c r="F474" s="2" t="s">
        <v>205</v>
      </c>
      <c r="G474" s="3">
        <v>6.17</v>
      </c>
      <c r="H474" s="3">
        <v>6.26</v>
      </c>
      <c r="I474" s="3">
        <v>6.89</v>
      </c>
      <c r="J474" s="3">
        <v>6.7</v>
      </c>
      <c r="K474" s="3">
        <v>6</v>
      </c>
      <c r="L474" s="21">
        <v>6.57</v>
      </c>
      <c r="M474" s="3">
        <v>0.21</v>
      </c>
      <c r="N474" s="2" t="s">
        <v>180</v>
      </c>
      <c r="O474" s="4" t="s">
        <v>17</v>
      </c>
      <c r="P474" s="18" t="s">
        <v>350</v>
      </c>
      <c r="Q474" s="5">
        <f t="shared" si="21"/>
        <v>5.7560000000000002</v>
      </c>
      <c r="R474" s="5">
        <f t="shared" si="22"/>
        <v>6.6349999999999998</v>
      </c>
      <c r="S474" s="5">
        <f t="shared" si="22"/>
        <v>3.105</v>
      </c>
      <c r="T474" s="23">
        <f>('Investor-Inputs'!$G$19 * Q474) + ('Investor-Inputs'!$J$19 * R474) + ('Investor-Inputs'!$N$19 * S474)</f>
        <v>33.643000000000001</v>
      </c>
      <c r="U474" s="27">
        <f t="shared" si="23"/>
        <v>458</v>
      </c>
    </row>
    <row r="475" spans="3:21" x14ac:dyDescent="0.25">
      <c r="C475" s="2" t="s">
        <v>215</v>
      </c>
      <c r="D475" s="2">
        <v>4</v>
      </c>
      <c r="E475" s="2" t="s">
        <v>14</v>
      </c>
      <c r="F475" s="2" t="s">
        <v>205</v>
      </c>
      <c r="G475" s="3">
        <v>6.2</v>
      </c>
      <c r="H475" s="3">
        <v>6.33</v>
      </c>
      <c r="I475" s="3">
        <v>6.9</v>
      </c>
      <c r="J475" s="3">
        <v>6.73</v>
      </c>
      <c r="K475" s="3">
        <v>6</v>
      </c>
      <c r="L475" s="21">
        <v>6.58</v>
      </c>
      <c r="M475" s="3">
        <v>0.22</v>
      </c>
      <c r="N475" s="2" t="s">
        <v>180</v>
      </c>
      <c r="O475" s="4" t="s">
        <v>17</v>
      </c>
      <c r="P475" s="18" t="s">
        <v>350</v>
      </c>
      <c r="Q475" s="5">
        <f t="shared" si="21"/>
        <v>5.76</v>
      </c>
      <c r="R475" s="5">
        <f t="shared" si="22"/>
        <v>6.6550000000000002</v>
      </c>
      <c r="S475" s="5">
        <f t="shared" si="22"/>
        <v>3.11</v>
      </c>
      <c r="T475" s="23">
        <f>('Investor-Inputs'!$G$19 * Q475) + ('Investor-Inputs'!$J$19 * R475) + ('Investor-Inputs'!$N$19 * S475)</f>
        <v>33.700000000000003</v>
      </c>
      <c r="U475" s="27">
        <f t="shared" si="23"/>
        <v>454</v>
      </c>
    </row>
    <row r="476" spans="3:21" x14ac:dyDescent="0.25">
      <c r="C476" s="2" t="s">
        <v>216</v>
      </c>
      <c r="D476" s="2">
        <v>4</v>
      </c>
      <c r="E476" s="2" t="s">
        <v>14</v>
      </c>
      <c r="F476" s="2" t="s">
        <v>205</v>
      </c>
      <c r="G476" s="3">
        <v>6.2</v>
      </c>
      <c r="H476" s="3">
        <v>6.3</v>
      </c>
      <c r="I476" s="3">
        <v>6.89</v>
      </c>
      <c r="J476" s="3">
        <v>6.72</v>
      </c>
      <c r="K476" s="3">
        <v>5.97</v>
      </c>
      <c r="L476" s="21">
        <v>6.57</v>
      </c>
      <c r="M476" s="3">
        <v>0.33</v>
      </c>
      <c r="N476" s="2" t="s">
        <v>180</v>
      </c>
      <c r="O476" s="4" t="s">
        <v>17</v>
      </c>
      <c r="P476" s="18" t="s">
        <v>350</v>
      </c>
      <c r="Q476" s="5">
        <f t="shared" si="21"/>
        <v>5.7409999999999997</v>
      </c>
      <c r="R476" s="5">
        <f t="shared" si="22"/>
        <v>6.6449999999999996</v>
      </c>
      <c r="S476" s="5">
        <f t="shared" si="22"/>
        <v>3.15</v>
      </c>
      <c r="T476" s="23">
        <f>('Investor-Inputs'!$G$19 * Q476) + ('Investor-Inputs'!$J$19 * R476) + ('Investor-Inputs'!$N$19 * S476)</f>
        <v>33.662999999999997</v>
      </c>
      <c r="U476" s="27">
        <f t="shared" si="23"/>
        <v>456</v>
      </c>
    </row>
    <row r="477" spans="3:21" x14ac:dyDescent="0.25">
      <c r="C477" s="2" t="s">
        <v>217</v>
      </c>
      <c r="D477" s="2">
        <v>4</v>
      </c>
      <c r="E477" s="2" t="s">
        <v>14</v>
      </c>
      <c r="F477" s="2" t="s">
        <v>205</v>
      </c>
      <c r="G477" s="3">
        <v>6.21</v>
      </c>
      <c r="H477" s="3">
        <v>6.33</v>
      </c>
      <c r="I477" s="3">
        <v>6.92</v>
      </c>
      <c r="J477" s="3">
        <v>6.74</v>
      </c>
      <c r="K477" s="3">
        <v>6.02</v>
      </c>
      <c r="L477" s="21">
        <v>6.6</v>
      </c>
      <c r="M477" s="3">
        <v>0.17</v>
      </c>
      <c r="N477" s="2" t="s">
        <v>180</v>
      </c>
      <c r="O477" s="4" t="s">
        <v>17</v>
      </c>
      <c r="P477" s="18" t="s">
        <v>350</v>
      </c>
      <c r="Q477" s="5">
        <f t="shared" si="21"/>
        <v>5.7780000000000005</v>
      </c>
      <c r="R477" s="5">
        <f t="shared" si="22"/>
        <v>6.67</v>
      </c>
      <c r="S477" s="5">
        <f t="shared" si="22"/>
        <v>3.0949999999999998</v>
      </c>
      <c r="T477" s="23">
        <f>('Investor-Inputs'!$G$19 * Q477) + ('Investor-Inputs'!$J$19 * R477) + ('Investor-Inputs'!$N$19 * S477)</f>
        <v>33.769000000000005</v>
      </c>
      <c r="U477" s="27">
        <f t="shared" si="23"/>
        <v>448</v>
      </c>
    </row>
    <row r="478" spans="3:21" x14ac:dyDescent="0.25">
      <c r="C478" s="2" t="s">
        <v>218</v>
      </c>
      <c r="D478" s="2">
        <v>4</v>
      </c>
      <c r="E478" s="2" t="s">
        <v>14</v>
      </c>
      <c r="F478" s="2" t="s">
        <v>219</v>
      </c>
      <c r="G478" s="3">
        <v>6.3</v>
      </c>
      <c r="H478" s="3">
        <v>5.98</v>
      </c>
      <c r="I478" s="3">
        <v>7.28</v>
      </c>
      <c r="J478" s="3">
        <v>7.04</v>
      </c>
      <c r="K478" s="3">
        <v>6.35</v>
      </c>
      <c r="L478" s="21">
        <v>6.93</v>
      </c>
      <c r="M478" s="3">
        <v>0.37</v>
      </c>
      <c r="N478" s="2" t="s">
        <v>171</v>
      </c>
      <c r="O478" s="4" t="s">
        <v>24</v>
      </c>
      <c r="P478" s="18" t="s">
        <v>350</v>
      </c>
      <c r="Q478" s="5">
        <f t="shared" si="21"/>
        <v>6.0869999999999997</v>
      </c>
      <c r="R478" s="5">
        <f t="shared" si="22"/>
        <v>6.9849999999999994</v>
      </c>
      <c r="S478" s="5">
        <f t="shared" si="22"/>
        <v>3.36</v>
      </c>
      <c r="T478" s="23">
        <f>('Investor-Inputs'!$G$19 * Q478) + ('Investor-Inputs'!$J$19 * R478) + ('Investor-Inputs'!$N$19 * S478)</f>
        <v>35.590999999999994</v>
      </c>
      <c r="U478" s="27">
        <f t="shared" si="23"/>
        <v>375</v>
      </c>
    </row>
    <row r="479" spans="3:21" x14ac:dyDescent="0.25">
      <c r="C479" s="2" t="s">
        <v>220</v>
      </c>
      <c r="D479" s="2">
        <v>5</v>
      </c>
      <c r="E479" s="2" t="s">
        <v>14</v>
      </c>
      <c r="F479" s="2" t="s">
        <v>219</v>
      </c>
      <c r="G479" s="3">
        <v>6.34</v>
      </c>
      <c r="H479" s="3">
        <v>6.05</v>
      </c>
      <c r="I479" s="3">
        <v>7.28</v>
      </c>
      <c r="J479" s="3">
        <v>7.08</v>
      </c>
      <c r="K479" s="3">
        <v>6.32</v>
      </c>
      <c r="L479" s="21">
        <v>6.94</v>
      </c>
      <c r="M479" s="3">
        <v>0.34</v>
      </c>
      <c r="N479" s="2" t="s">
        <v>180</v>
      </c>
      <c r="O479" s="4" t="s">
        <v>28</v>
      </c>
      <c r="P479" s="18" t="s">
        <v>350</v>
      </c>
      <c r="Q479" s="5">
        <f t="shared" si="21"/>
        <v>6.072000000000001</v>
      </c>
      <c r="R479" s="5">
        <f t="shared" si="22"/>
        <v>7.01</v>
      </c>
      <c r="S479" s="5">
        <f t="shared" si="22"/>
        <v>3.33</v>
      </c>
      <c r="T479" s="23">
        <f>('Investor-Inputs'!$G$19 * Q479) + ('Investor-Inputs'!$J$19 * R479) + ('Investor-Inputs'!$N$19 * S479)</f>
        <v>35.566000000000003</v>
      </c>
      <c r="U479" s="27">
        <f t="shared" si="23"/>
        <v>379</v>
      </c>
    </row>
    <row r="480" spans="3:21" x14ac:dyDescent="0.25">
      <c r="C480" s="2" t="s">
        <v>221</v>
      </c>
      <c r="D480" s="2">
        <v>4</v>
      </c>
      <c r="E480" s="2" t="s">
        <v>14</v>
      </c>
      <c r="F480" s="2" t="s">
        <v>219</v>
      </c>
      <c r="G480" s="3">
        <v>6.31</v>
      </c>
      <c r="H480" s="3">
        <v>6.04</v>
      </c>
      <c r="I480" s="3">
        <v>6.91</v>
      </c>
      <c r="J480" s="3">
        <v>6.87</v>
      </c>
      <c r="K480" s="3">
        <v>5.79</v>
      </c>
      <c r="L480" s="21">
        <v>6.56</v>
      </c>
      <c r="M480" s="3">
        <v>0.35</v>
      </c>
      <c r="N480" s="2" t="s">
        <v>180</v>
      </c>
      <c r="O480" s="4" t="s">
        <v>24</v>
      </c>
      <c r="P480" s="18" t="s">
        <v>350</v>
      </c>
      <c r="Q480" s="5">
        <f t="shared" si="21"/>
        <v>5.6590000000000007</v>
      </c>
      <c r="R480" s="5">
        <f t="shared" si="22"/>
        <v>6.7149999999999999</v>
      </c>
      <c r="S480" s="5">
        <f t="shared" si="22"/>
        <v>3.07</v>
      </c>
      <c r="T480" s="23">
        <f>('Investor-Inputs'!$G$19 * Q480) + ('Investor-Inputs'!$J$19 * R480) + ('Investor-Inputs'!$N$19 * S480)</f>
        <v>33.477000000000004</v>
      </c>
      <c r="U480" s="27">
        <f t="shared" si="23"/>
        <v>468</v>
      </c>
    </row>
    <row r="481" spans="3:21" x14ac:dyDescent="0.25">
      <c r="C481" s="2" t="s">
        <v>222</v>
      </c>
      <c r="D481" s="2">
        <v>4</v>
      </c>
      <c r="E481" s="2" t="s">
        <v>14</v>
      </c>
      <c r="F481" s="2" t="s">
        <v>219</v>
      </c>
      <c r="G481" s="3">
        <v>6.27</v>
      </c>
      <c r="H481" s="3">
        <v>5.98</v>
      </c>
      <c r="I481" s="3">
        <v>7.22</v>
      </c>
      <c r="J481" s="3">
        <v>7.01</v>
      </c>
      <c r="K481" s="3">
        <v>6.27</v>
      </c>
      <c r="L481" s="21">
        <v>6.87</v>
      </c>
      <c r="M481" s="3">
        <v>0.46</v>
      </c>
      <c r="N481" s="2" t="s">
        <v>171</v>
      </c>
      <c r="O481" s="4" t="s">
        <v>24</v>
      </c>
      <c r="P481" s="18" t="s">
        <v>350</v>
      </c>
      <c r="Q481" s="5">
        <f t="shared" si="21"/>
        <v>6.0229999999999997</v>
      </c>
      <c r="R481" s="5">
        <f t="shared" si="22"/>
        <v>6.9399999999999995</v>
      </c>
      <c r="S481" s="5">
        <f t="shared" si="22"/>
        <v>3.3649999999999998</v>
      </c>
      <c r="T481" s="23">
        <f>('Investor-Inputs'!$G$19 * Q481) + ('Investor-Inputs'!$J$19 * R481) + ('Investor-Inputs'!$N$19 * S481)</f>
        <v>35.314</v>
      </c>
      <c r="U481" s="27">
        <f t="shared" si="23"/>
        <v>387</v>
      </c>
    </row>
    <row r="482" spans="3:21" x14ac:dyDescent="0.25">
      <c r="C482" s="2" t="s">
        <v>223</v>
      </c>
      <c r="D482" s="2">
        <v>4</v>
      </c>
      <c r="E482" s="2" t="s">
        <v>14</v>
      </c>
      <c r="F482" s="2" t="s">
        <v>219</v>
      </c>
      <c r="G482" s="3">
        <v>6.29</v>
      </c>
      <c r="H482" s="3">
        <v>5.96</v>
      </c>
      <c r="I482" s="3">
        <v>7.27</v>
      </c>
      <c r="J482" s="3">
        <v>7.05</v>
      </c>
      <c r="K482" s="3">
        <v>6.3</v>
      </c>
      <c r="L482" s="21">
        <v>6.91</v>
      </c>
      <c r="M482" s="3">
        <v>0.39</v>
      </c>
      <c r="N482" s="2" t="s">
        <v>180</v>
      </c>
      <c r="O482" s="4" t="s">
        <v>17</v>
      </c>
      <c r="P482" s="18" t="s">
        <v>350</v>
      </c>
      <c r="Q482" s="5">
        <f t="shared" si="21"/>
        <v>6.0579999999999998</v>
      </c>
      <c r="R482" s="5">
        <f t="shared" si="22"/>
        <v>6.98</v>
      </c>
      <c r="S482" s="5">
        <f t="shared" si="22"/>
        <v>3.3449999999999998</v>
      </c>
      <c r="T482" s="23">
        <f>('Investor-Inputs'!$G$19 * Q482) + ('Investor-Inputs'!$J$19 * R482) + ('Investor-Inputs'!$N$19 * S482)</f>
        <v>35.478999999999999</v>
      </c>
      <c r="U482" s="27">
        <f t="shared" si="23"/>
        <v>381</v>
      </c>
    </row>
    <row r="483" spans="3:21" x14ac:dyDescent="0.25">
      <c r="C483" s="2" t="s">
        <v>224</v>
      </c>
      <c r="D483" s="2">
        <v>4</v>
      </c>
      <c r="E483" s="2" t="s">
        <v>14</v>
      </c>
      <c r="F483" s="2" t="s">
        <v>219</v>
      </c>
      <c r="G483" s="3">
        <v>6.29</v>
      </c>
      <c r="H483" s="3">
        <v>6</v>
      </c>
      <c r="I483" s="3">
        <v>7.24</v>
      </c>
      <c r="J483" s="3">
        <v>7.04</v>
      </c>
      <c r="K483" s="3">
        <v>6.31</v>
      </c>
      <c r="L483" s="21">
        <v>6.91</v>
      </c>
      <c r="M483" s="3">
        <v>0.37</v>
      </c>
      <c r="N483" s="2" t="s">
        <v>171</v>
      </c>
      <c r="O483" s="4" t="s">
        <v>17</v>
      </c>
      <c r="P483" s="18" t="s">
        <v>350</v>
      </c>
      <c r="Q483" s="5">
        <f t="shared" si="21"/>
        <v>6.0510000000000002</v>
      </c>
      <c r="R483" s="5">
        <f t="shared" si="22"/>
        <v>6.9749999999999996</v>
      </c>
      <c r="S483" s="5">
        <f t="shared" si="22"/>
        <v>3.34</v>
      </c>
      <c r="T483" s="23">
        <f>('Investor-Inputs'!$G$19 * Q483) + ('Investor-Inputs'!$J$19 * R483) + ('Investor-Inputs'!$N$19 * S483)</f>
        <v>35.442999999999998</v>
      </c>
      <c r="U483" s="27">
        <f t="shared" si="23"/>
        <v>385</v>
      </c>
    </row>
    <row r="484" spans="3:21" x14ac:dyDescent="0.25">
      <c r="C484" s="2" t="s">
        <v>225</v>
      </c>
      <c r="D484" s="2">
        <v>4</v>
      </c>
      <c r="E484" s="2" t="s">
        <v>14</v>
      </c>
      <c r="F484" s="2" t="s">
        <v>219</v>
      </c>
      <c r="G484" s="3">
        <v>6.33</v>
      </c>
      <c r="H484" s="3">
        <v>6.05</v>
      </c>
      <c r="I484" s="3">
        <v>7.27</v>
      </c>
      <c r="J484" s="3">
        <v>7.07</v>
      </c>
      <c r="K484" s="3">
        <v>6.33</v>
      </c>
      <c r="L484" s="21">
        <v>6.93</v>
      </c>
      <c r="M484" s="3">
        <v>0.42</v>
      </c>
      <c r="N484" s="2" t="s">
        <v>171</v>
      </c>
      <c r="O484" s="4" t="s">
        <v>17</v>
      </c>
      <c r="P484" s="18" t="s">
        <v>350</v>
      </c>
      <c r="Q484" s="5">
        <f t="shared" si="21"/>
        <v>6.0730000000000004</v>
      </c>
      <c r="R484" s="5">
        <f t="shared" si="22"/>
        <v>7</v>
      </c>
      <c r="S484" s="5">
        <f t="shared" si="22"/>
        <v>3.375</v>
      </c>
      <c r="T484" s="23">
        <f>('Investor-Inputs'!$G$19 * Q484) + ('Investor-Inputs'!$J$19 * R484) + ('Investor-Inputs'!$N$19 * S484)</f>
        <v>35.594000000000001</v>
      </c>
      <c r="U484" s="27">
        <f t="shared" si="23"/>
        <v>373</v>
      </c>
    </row>
    <row r="485" spans="3:21" x14ac:dyDescent="0.25">
      <c r="C485" s="2" t="s">
        <v>226</v>
      </c>
      <c r="D485" s="2">
        <v>4</v>
      </c>
      <c r="E485" s="2" t="s">
        <v>14</v>
      </c>
      <c r="F485" s="2" t="s">
        <v>219</v>
      </c>
      <c r="G485" s="3">
        <v>6.34</v>
      </c>
      <c r="H485" s="3">
        <v>6.02</v>
      </c>
      <c r="I485" s="3">
        <v>7.31</v>
      </c>
      <c r="J485" s="3">
        <v>7.09</v>
      </c>
      <c r="K485" s="3">
        <v>6.37</v>
      </c>
      <c r="L485" s="21">
        <v>6.97</v>
      </c>
      <c r="M485" s="3">
        <v>0.25</v>
      </c>
      <c r="N485" s="2" t="s">
        <v>171</v>
      </c>
      <c r="O485" s="4" t="s">
        <v>28</v>
      </c>
      <c r="P485" s="18" t="s">
        <v>350</v>
      </c>
      <c r="Q485" s="5">
        <f t="shared" si="21"/>
        <v>6.109</v>
      </c>
      <c r="R485" s="5">
        <f t="shared" si="22"/>
        <v>7.0299999999999994</v>
      </c>
      <c r="S485" s="5">
        <f t="shared" si="22"/>
        <v>3.31</v>
      </c>
      <c r="T485" s="23">
        <f>('Investor-Inputs'!$G$19 * Q485) + ('Investor-Inputs'!$J$19 * R485) + ('Investor-Inputs'!$N$19 * S485)</f>
        <v>35.697000000000003</v>
      </c>
      <c r="U485" s="27">
        <f t="shared" si="23"/>
        <v>367</v>
      </c>
    </row>
    <row r="486" spans="3:21" x14ac:dyDescent="0.25">
      <c r="C486" s="2" t="s">
        <v>227</v>
      </c>
      <c r="D486" s="2">
        <v>5</v>
      </c>
      <c r="E486" s="2" t="s">
        <v>14</v>
      </c>
      <c r="F486" s="2" t="s">
        <v>228</v>
      </c>
      <c r="G486" s="3">
        <v>5.4</v>
      </c>
      <c r="H486" s="3">
        <v>5.31</v>
      </c>
      <c r="I486" s="3">
        <v>6.25</v>
      </c>
      <c r="J486" s="3">
        <v>5.95</v>
      </c>
      <c r="K486" s="3">
        <v>5.54</v>
      </c>
      <c r="L486" s="21">
        <v>5.96</v>
      </c>
      <c r="M486" s="3">
        <v>0.14000000000000001</v>
      </c>
      <c r="N486" s="2" t="s">
        <v>229</v>
      </c>
      <c r="O486" s="4" t="s">
        <v>28</v>
      </c>
      <c r="P486" s="18" t="s">
        <v>350</v>
      </c>
      <c r="Q486" s="5">
        <f t="shared" si="21"/>
        <v>5.27</v>
      </c>
      <c r="R486" s="5">
        <f t="shared" si="22"/>
        <v>5.9550000000000001</v>
      </c>
      <c r="S486" s="5">
        <f t="shared" si="22"/>
        <v>2.84</v>
      </c>
      <c r="T486" s="23">
        <f>('Investor-Inputs'!$G$19 * Q486) + ('Investor-Inputs'!$J$19 * R486) + ('Investor-Inputs'!$N$19 * S486)</f>
        <v>30.56</v>
      </c>
      <c r="U486" s="27">
        <f t="shared" si="23"/>
        <v>514</v>
      </c>
    </row>
    <row r="487" spans="3:21" x14ac:dyDescent="0.25">
      <c r="C487" s="2" t="s">
        <v>230</v>
      </c>
      <c r="D487" s="2">
        <v>5</v>
      </c>
      <c r="E487" s="2" t="s">
        <v>14</v>
      </c>
      <c r="F487" s="2" t="s">
        <v>228</v>
      </c>
      <c r="G487" s="3">
        <v>5.41</v>
      </c>
      <c r="H487" s="3">
        <v>5.31</v>
      </c>
      <c r="I487" s="2"/>
      <c r="J487" s="2"/>
      <c r="K487" s="2"/>
      <c r="L487" s="20"/>
      <c r="M487" s="3">
        <v>0.19</v>
      </c>
      <c r="N487" s="2" t="s">
        <v>229</v>
      </c>
      <c r="O487" s="4" t="s">
        <v>28</v>
      </c>
      <c r="P487" s="18" t="s">
        <v>350</v>
      </c>
      <c r="Q487" s="5">
        <f t="shared" si="21"/>
        <v>0</v>
      </c>
      <c r="R487" s="5">
        <f t="shared" si="22"/>
        <v>0</v>
      </c>
      <c r="S487" s="5">
        <f t="shared" si="22"/>
        <v>9.5000000000000001E-2</v>
      </c>
      <c r="T487" s="23">
        <f>('Investor-Inputs'!$G$19 * Q487) + ('Investor-Inputs'!$J$19 * R487) + ('Investor-Inputs'!$N$19 * S487)</f>
        <v>9.5000000000000001E-2</v>
      </c>
      <c r="U487" s="27">
        <f t="shared" si="23"/>
        <v>585</v>
      </c>
    </row>
    <row r="488" spans="3:21" x14ac:dyDescent="0.25">
      <c r="C488" s="2" t="s">
        <v>231</v>
      </c>
      <c r="D488" s="2">
        <v>5</v>
      </c>
      <c r="E488" s="2" t="s">
        <v>14</v>
      </c>
      <c r="F488" s="2" t="s">
        <v>228</v>
      </c>
      <c r="G488" s="3">
        <v>5.47</v>
      </c>
      <c r="H488" s="3">
        <v>5.37</v>
      </c>
      <c r="I488" s="3">
        <v>6.32</v>
      </c>
      <c r="J488" s="3">
        <v>6.02</v>
      </c>
      <c r="K488" s="3">
        <v>5.61</v>
      </c>
      <c r="L488" s="21">
        <v>6.03</v>
      </c>
      <c r="M488" s="3">
        <v>0.14000000000000001</v>
      </c>
      <c r="N488" s="2" t="s">
        <v>229</v>
      </c>
      <c r="O488" s="4" t="s">
        <v>28</v>
      </c>
      <c r="P488" s="18" t="s">
        <v>350</v>
      </c>
      <c r="Q488" s="5">
        <f t="shared" si="21"/>
        <v>5.3330000000000002</v>
      </c>
      <c r="R488" s="5">
        <f t="shared" si="22"/>
        <v>6.0250000000000004</v>
      </c>
      <c r="S488" s="5">
        <f t="shared" si="22"/>
        <v>2.875</v>
      </c>
      <c r="T488" s="23">
        <f>('Investor-Inputs'!$G$19 * Q488) + ('Investor-Inputs'!$J$19 * R488) + ('Investor-Inputs'!$N$19 * S488)</f>
        <v>30.923999999999999</v>
      </c>
      <c r="U488" s="27">
        <f t="shared" si="23"/>
        <v>512</v>
      </c>
    </row>
    <row r="489" spans="3:21" x14ac:dyDescent="0.25">
      <c r="C489" s="2" t="s">
        <v>232</v>
      </c>
      <c r="D489" s="2">
        <v>4</v>
      </c>
      <c r="E489" s="2" t="s">
        <v>14</v>
      </c>
      <c r="F489" s="2" t="s">
        <v>228</v>
      </c>
      <c r="G489" s="3">
        <v>5.34</v>
      </c>
      <c r="H489" s="3">
        <v>5.25</v>
      </c>
      <c r="I489" s="3">
        <v>6.18</v>
      </c>
      <c r="J489" s="3">
        <v>5.88</v>
      </c>
      <c r="K489" s="3">
        <v>5.48</v>
      </c>
      <c r="L489" s="21">
        <v>5.9</v>
      </c>
      <c r="M489" s="3">
        <v>0.15</v>
      </c>
      <c r="N489" s="2" t="s">
        <v>229</v>
      </c>
      <c r="O489" s="4" t="s">
        <v>17</v>
      </c>
      <c r="P489" s="18" t="s">
        <v>350</v>
      </c>
      <c r="Q489" s="5">
        <f t="shared" si="21"/>
        <v>5.2119999999999997</v>
      </c>
      <c r="R489" s="5">
        <f t="shared" si="22"/>
        <v>5.8900000000000006</v>
      </c>
      <c r="S489" s="5">
        <f t="shared" si="22"/>
        <v>2.8150000000000004</v>
      </c>
      <c r="T489" s="23">
        <f>('Investor-Inputs'!$G$19 * Q489) + ('Investor-Inputs'!$J$19 * R489) + ('Investor-Inputs'!$N$19 * S489)</f>
        <v>30.231000000000002</v>
      </c>
      <c r="U489" s="27">
        <f t="shared" si="23"/>
        <v>526</v>
      </c>
    </row>
    <row r="490" spans="3:21" x14ac:dyDescent="0.25">
      <c r="C490" s="2" t="s">
        <v>233</v>
      </c>
      <c r="D490" s="2">
        <v>4</v>
      </c>
      <c r="E490" s="2" t="s">
        <v>14</v>
      </c>
      <c r="F490" s="2" t="s">
        <v>228</v>
      </c>
      <c r="G490" s="3">
        <v>5.41</v>
      </c>
      <c r="H490" s="3">
        <v>5.34</v>
      </c>
      <c r="I490" s="3">
        <v>6.19</v>
      </c>
      <c r="J490" s="3">
        <v>5.92</v>
      </c>
      <c r="K490" s="3">
        <v>5.47</v>
      </c>
      <c r="L490" s="21">
        <v>5.91</v>
      </c>
      <c r="M490" s="3">
        <v>0.09</v>
      </c>
      <c r="N490" s="2" t="s">
        <v>229</v>
      </c>
      <c r="O490" s="4" t="s">
        <v>17</v>
      </c>
      <c r="P490" s="18" t="s">
        <v>350</v>
      </c>
      <c r="Q490" s="5">
        <f t="shared" si="21"/>
        <v>5.2110000000000003</v>
      </c>
      <c r="R490" s="5">
        <f t="shared" si="22"/>
        <v>5.915</v>
      </c>
      <c r="S490" s="5">
        <f t="shared" si="22"/>
        <v>2.78</v>
      </c>
      <c r="T490" s="23">
        <f>('Investor-Inputs'!$G$19 * Q490) + ('Investor-Inputs'!$J$19 * R490) + ('Investor-Inputs'!$N$19 * S490)</f>
        <v>30.243000000000002</v>
      </c>
      <c r="U490" s="27">
        <f t="shared" si="23"/>
        <v>524</v>
      </c>
    </row>
    <row r="491" spans="3:21" x14ac:dyDescent="0.25">
      <c r="C491" s="2" t="s">
        <v>234</v>
      </c>
      <c r="D491" s="2">
        <v>4</v>
      </c>
      <c r="E491" s="2" t="s">
        <v>14</v>
      </c>
      <c r="F491" s="2" t="s">
        <v>228</v>
      </c>
      <c r="G491" s="3">
        <v>5.34</v>
      </c>
      <c r="H491" s="3">
        <v>5.25</v>
      </c>
      <c r="I491" s="3">
        <v>6.18</v>
      </c>
      <c r="J491" s="3">
        <v>5.88</v>
      </c>
      <c r="K491" s="3">
        <v>5.47</v>
      </c>
      <c r="L491" s="21">
        <v>5.89</v>
      </c>
      <c r="M491" s="3">
        <v>0.18</v>
      </c>
      <c r="N491" s="2" t="s">
        <v>229</v>
      </c>
      <c r="O491" s="4" t="s">
        <v>17</v>
      </c>
      <c r="P491" s="18" t="s">
        <v>350</v>
      </c>
      <c r="Q491" s="5">
        <f t="shared" si="21"/>
        <v>5.2069999999999999</v>
      </c>
      <c r="R491" s="5">
        <f t="shared" si="22"/>
        <v>5.8849999999999998</v>
      </c>
      <c r="S491" s="5">
        <f t="shared" si="22"/>
        <v>2.8249999999999997</v>
      </c>
      <c r="T491" s="23">
        <f>('Investor-Inputs'!$G$19 * Q491) + ('Investor-Inputs'!$J$19 * R491) + ('Investor-Inputs'!$N$19 * S491)</f>
        <v>30.215999999999998</v>
      </c>
      <c r="U491" s="27">
        <f t="shared" si="23"/>
        <v>530</v>
      </c>
    </row>
    <row r="492" spans="3:21" x14ac:dyDescent="0.25">
      <c r="C492" s="2" t="s">
        <v>235</v>
      </c>
      <c r="D492" s="2">
        <v>4</v>
      </c>
      <c r="E492" s="2" t="s">
        <v>14</v>
      </c>
      <c r="F492" s="2" t="s">
        <v>228</v>
      </c>
      <c r="G492" s="3">
        <v>5.35</v>
      </c>
      <c r="H492" s="3">
        <v>5.26</v>
      </c>
      <c r="I492" s="3">
        <v>6.2</v>
      </c>
      <c r="J492" s="3">
        <v>5.9</v>
      </c>
      <c r="K492" s="3">
        <v>5.49</v>
      </c>
      <c r="L492" s="21">
        <v>5.91</v>
      </c>
      <c r="M492" s="3">
        <v>0.12</v>
      </c>
      <c r="N492" s="2" t="s">
        <v>229</v>
      </c>
      <c r="O492" s="4" t="s">
        <v>17</v>
      </c>
      <c r="P492" s="18" t="s">
        <v>350</v>
      </c>
      <c r="Q492" s="5">
        <f t="shared" si="21"/>
        <v>5.2250000000000005</v>
      </c>
      <c r="R492" s="5">
        <f t="shared" si="22"/>
        <v>5.9050000000000002</v>
      </c>
      <c r="S492" s="5">
        <f t="shared" si="22"/>
        <v>2.8050000000000002</v>
      </c>
      <c r="T492" s="23">
        <f>('Investor-Inputs'!$G$19 * Q492) + ('Investor-Inputs'!$J$19 * R492) + ('Investor-Inputs'!$N$19 * S492)</f>
        <v>30.29</v>
      </c>
      <c r="U492" s="27">
        <f t="shared" si="23"/>
        <v>520</v>
      </c>
    </row>
    <row r="493" spans="3:21" x14ac:dyDescent="0.25">
      <c r="C493" s="2" t="s">
        <v>236</v>
      </c>
      <c r="D493" s="2">
        <v>4</v>
      </c>
      <c r="E493" s="2" t="s">
        <v>14</v>
      </c>
      <c r="F493" s="2" t="s">
        <v>228</v>
      </c>
      <c r="G493" s="3">
        <v>5.34</v>
      </c>
      <c r="H493" s="3">
        <v>5.25</v>
      </c>
      <c r="I493" s="3">
        <v>6.17</v>
      </c>
      <c r="J493" s="3">
        <v>5.88</v>
      </c>
      <c r="K493" s="3">
        <v>5.46</v>
      </c>
      <c r="L493" s="21">
        <v>5.89</v>
      </c>
      <c r="M493" s="3">
        <v>0.2</v>
      </c>
      <c r="N493" s="2" t="s">
        <v>229</v>
      </c>
      <c r="O493" s="4" t="s">
        <v>17</v>
      </c>
      <c r="P493" s="18" t="s">
        <v>350</v>
      </c>
      <c r="Q493" s="5">
        <f t="shared" si="21"/>
        <v>5.1980000000000004</v>
      </c>
      <c r="R493" s="5">
        <f t="shared" si="22"/>
        <v>5.8849999999999998</v>
      </c>
      <c r="S493" s="5">
        <f t="shared" si="22"/>
        <v>2.83</v>
      </c>
      <c r="T493" s="23">
        <f>('Investor-Inputs'!$G$19 * Q493) + ('Investor-Inputs'!$J$19 * R493) + ('Investor-Inputs'!$N$19 * S493)</f>
        <v>30.194000000000003</v>
      </c>
      <c r="U493" s="27">
        <f t="shared" si="23"/>
        <v>532</v>
      </c>
    </row>
    <row r="494" spans="3:21" x14ac:dyDescent="0.25">
      <c r="C494" s="2" t="s">
        <v>237</v>
      </c>
      <c r="D494" s="2">
        <v>4</v>
      </c>
      <c r="E494" s="2" t="s">
        <v>14</v>
      </c>
      <c r="F494" s="2" t="s">
        <v>228</v>
      </c>
      <c r="G494" s="3">
        <v>5.34</v>
      </c>
      <c r="H494" s="3">
        <v>5.24</v>
      </c>
      <c r="I494" s="3">
        <v>6.18</v>
      </c>
      <c r="J494" s="3">
        <v>5.88</v>
      </c>
      <c r="K494" s="3">
        <v>5.49</v>
      </c>
      <c r="L494" s="21">
        <v>5.9</v>
      </c>
      <c r="M494" s="3">
        <v>0.2</v>
      </c>
      <c r="N494" s="2" t="s">
        <v>229</v>
      </c>
      <c r="O494" s="4" t="s">
        <v>17</v>
      </c>
      <c r="P494" s="18" t="s">
        <v>350</v>
      </c>
      <c r="Q494" s="5">
        <f t="shared" si="21"/>
        <v>5.2170000000000005</v>
      </c>
      <c r="R494" s="5">
        <f t="shared" si="22"/>
        <v>5.8900000000000006</v>
      </c>
      <c r="S494" s="5">
        <f t="shared" si="22"/>
        <v>2.8450000000000002</v>
      </c>
      <c r="T494" s="23">
        <f>('Investor-Inputs'!$G$19 * Q494) + ('Investor-Inputs'!$J$19 * R494) + ('Investor-Inputs'!$N$19 * S494)</f>
        <v>30.276000000000003</v>
      </c>
      <c r="U494" s="27">
        <f t="shared" si="23"/>
        <v>522</v>
      </c>
    </row>
    <row r="495" spans="3:21" x14ac:dyDescent="0.25">
      <c r="C495" s="2" t="s">
        <v>238</v>
      </c>
      <c r="D495" s="2">
        <v>4</v>
      </c>
      <c r="E495" s="2" t="s">
        <v>14</v>
      </c>
      <c r="F495" s="2" t="s">
        <v>228</v>
      </c>
      <c r="G495" s="3">
        <v>5.27</v>
      </c>
      <c r="H495" s="3">
        <v>5.16</v>
      </c>
      <c r="I495" s="3">
        <v>6.17</v>
      </c>
      <c r="J495" s="3">
        <v>5.86</v>
      </c>
      <c r="K495" s="3">
        <v>5.48</v>
      </c>
      <c r="L495" s="21">
        <v>5.88</v>
      </c>
      <c r="M495" s="3">
        <v>0.23</v>
      </c>
      <c r="N495" s="2" t="s">
        <v>229</v>
      </c>
      <c r="O495" s="4" t="s">
        <v>17</v>
      </c>
      <c r="P495" s="18" t="s">
        <v>350</v>
      </c>
      <c r="Q495" s="5">
        <f t="shared" si="21"/>
        <v>5.2080000000000002</v>
      </c>
      <c r="R495" s="5">
        <f t="shared" si="22"/>
        <v>5.87</v>
      </c>
      <c r="S495" s="5">
        <f t="shared" si="22"/>
        <v>2.8550000000000004</v>
      </c>
      <c r="T495" s="23">
        <f>('Investor-Inputs'!$G$19 * Q495) + ('Investor-Inputs'!$J$19 * R495) + ('Investor-Inputs'!$N$19 * S495)</f>
        <v>30.219000000000001</v>
      </c>
      <c r="U495" s="27">
        <f t="shared" si="23"/>
        <v>528</v>
      </c>
    </row>
    <row r="496" spans="3:21" x14ac:dyDescent="0.25">
      <c r="C496" s="2" t="s">
        <v>239</v>
      </c>
      <c r="D496" s="2">
        <v>4</v>
      </c>
      <c r="E496" s="2" t="s">
        <v>14</v>
      </c>
      <c r="F496" s="2" t="s">
        <v>228</v>
      </c>
      <c r="G496" s="3">
        <v>5.36</v>
      </c>
      <c r="H496" s="3">
        <v>5.27</v>
      </c>
      <c r="I496" s="3">
        <v>6.21</v>
      </c>
      <c r="J496" s="3">
        <v>5.91</v>
      </c>
      <c r="K496" s="3">
        <v>5.5</v>
      </c>
      <c r="L496" s="21">
        <v>5.92</v>
      </c>
      <c r="M496" s="3">
        <v>0.18</v>
      </c>
      <c r="N496" s="2" t="s">
        <v>229</v>
      </c>
      <c r="O496" s="4" t="s">
        <v>17</v>
      </c>
      <c r="P496" s="18" t="s">
        <v>350</v>
      </c>
      <c r="Q496" s="5">
        <f t="shared" si="21"/>
        <v>5.234</v>
      </c>
      <c r="R496" s="5">
        <f t="shared" si="22"/>
        <v>5.915</v>
      </c>
      <c r="S496" s="5">
        <f t="shared" si="22"/>
        <v>2.84</v>
      </c>
      <c r="T496" s="23">
        <f>('Investor-Inputs'!$G$19 * Q496) + ('Investor-Inputs'!$J$19 * R496) + ('Investor-Inputs'!$N$19 * S496)</f>
        <v>30.372</v>
      </c>
      <c r="U496" s="27">
        <f t="shared" si="23"/>
        <v>518</v>
      </c>
    </row>
    <row r="497" spans="3:21" x14ac:dyDescent="0.25">
      <c r="C497" s="2" t="s">
        <v>240</v>
      </c>
      <c r="D497" s="2">
        <v>5</v>
      </c>
      <c r="E497" s="2" t="s">
        <v>14</v>
      </c>
      <c r="F497" s="2" t="s">
        <v>241</v>
      </c>
      <c r="G497" s="3">
        <v>4.33</v>
      </c>
      <c r="H497" s="3">
        <v>3.29</v>
      </c>
      <c r="I497" s="3">
        <v>7.47</v>
      </c>
      <c r="J497" s="3">
        <v>6.92</v>
      </c>
      <c r="K497" s="3">
        <v>6.62</v>
      </c>
      <c r="L497" s="21">
        <v>6.92</v>
      </c>
      <c r="M497" s="3">
        <v>0.59</v>
      </c>
      <c r="N497" s="2" t="s">
        <v>242</v>
      </c>
      <c r="O497" s="4" t="s">
        <v>28</v>
      </c>
      <c r="P497" s="18" t="s">
        <v>350</v>
      </c>
      <c r="Q497" s="5">
        <f t="shared" si="21"/>
        <v>6.298</v>
      </c>
      <c r="R497" s="5">
        <f t="shared" si="22"/>
        <v>6.92</v>
      </c>
      <c r="S497" s="5">
        <f t="shared" si="22"/>
        <v>3.605</v>
      </c>
      <c r="T497" s="23">
        <f>('Investor-Inputs'!$G$19 * Q497) + ('Investor-Inputs'!$J$19 * R497) + ('Investor-Inputs'!$N$19 * S497)</f>
        <v>36.338999999999992</v>
      </c>
      <c r="U497" s="27">
        <f t="shared" si="23"/>
        <v>349</v>
      </c>
    </row>
    <row r="498" spans="3:21" x14ac:dyDescent="0.25">
      <c r="C498" s="2" t="s">
        <v>243</v>
      </c>
      <c r="D498" s="2">
        <v>4</v>
      </c>
      <c r="E498" s="2" t="s">
        <v>14</v>
      </c>
      <c r="F498" s="2" t="s">
        <v>241</v>
      </c>
      <c r="G498" s="3">
        <v>3.26</v>
      </c>
      <c r="H498" s="3">
        <v>3.89</v>
      </c>
      <c r="I498" s="3">
        <v>6.77</v>
      </c>
      <c r="J498" s="3">
        <v>6.42</v>
      </c>
      <c r="K498" s="3">
        <v>5.75</v>
      </c>
      <c r="L498" s="21">
        <v>6.37</v>
      </c>
      <c r="M498" s="3">
        <v>0.63</v>
      </c>
      <c r="N498" s="2" t="s">
        <v>171</v>
      </c>
      <c r="O498" s="4" t="s">
        <v>17</v>
      </c>
      <c r="P498" s="18" t="s">
        <v>350</v>
      </c>
      <c r="Q498" s="5">
        <f t="shared" si="21"/>
        <v>5.5830000000000002</v>
      </c>
      <c r="R498" s="5">
        <f t="shared" si="22"/>
        <v>6.3949999999999996</v>
      </c>
      <c r="S498" s="5">
        <f t="shared" si="22"/>
        <v>3.19</v>
      </c>
      <c r="T498" s="23">
        <f>('Investor-Inputs'!$G$19 * Q498) + ('Investor-Inputs'!$J$19 * R498) + ('Investor-Inputs'!$N$19 * S498)</f>
        <v>32.728999999999999</v>
      </c>
      <c r="U498" s="27">
        <f t="shared" si="23"/>
        <v>482</v>
      </c>
    </row>
    <row r="499" spans="3:21" x14ac:dyDescent="0.25">
      <c r="C499" s="2" t="s">
        <v>244</v>
      </c>
      <c r="D499" s="2">
        <v>4</v>
      </c>
      <c r="E499" s="2" t="s">
        <v>14</v>
      </c>
      <c r="F499" s="2" t="s">
        <v>241</v>
      </c>
      <c r="G499" s="3">
        <v>1.87</v>
      </c>
      <c r="H499" s="3">
        <v>1.51</v>
      </c>
      <c r="I499" s="3">
        <v>6.18</v>
      </c>
      <c r="J499" s="3">
        <v>5.51</v>
      </c>
      <c r="K499" s="3">
        <v>5.45</v>
      </c>
      <c r="L499" s="21">
        <v>5.8</v>
      </c>
      <c r="M499" s="3">
        <v>0.97</v>
      </c>
      <c r="N499" s="2" t="s">
        <v>171</v>
      </c>
      <c r="O499" s="4" t="s">
        <v>17</v>
      </c>
      <c r="P499" s="18" t="s">
        <v>350</v>
      </c>
      <c r="Q499" s="5">
        <f t="shared" si="21"/>
        <v>5.1970000000000001</v>
      </c>
      <c r="R499" s="5">
        <f t="shared" si="22"/>
        <v>5.6549999999999994</v>
      </c>
      <c r="S499" s="5">
        <f t="shared" si="22"/>
        <v>3.21</v>
      </c>
      <c r="T499" s="23">
        <f>('Investor-Inputs'!$G$19 * Q499) + ('Investor-Inputs'!$J$19 * R499) + ('Investor-Inputs'!$N$19 * S499)</f>
        <v>30.111000000000001</v>
      </c>
      <c r="U499" s="27">
        <f t="shared" si="23"/>
        <v>538</v>
      </c>
    </row>
    <row r="500" spans="3:21" x14ac:dyDescent="0.25">
      <c r="C500" s="2" t="s">
        <v>245</v>
      </c>
      <c r="D500" s="2">
        <v>4</v>
      </c>
      <c r="E500" s="2" t="s">
        <v>14</v>
      </c>
      <c r="F500" s="2" t="s">
        <v>241</v>
      </c>
      <c r="G500" s="3">
        <v>5.38</v>
      </c>
      <c r="H500" s="3">
        <v>4.91</v>
      </c>
      <c r="I500" s="3">
        <v>6.32</v>
      </c>
      <c r="J500" s="3">
        <v>6.35</v>
      </c>
      <c r="K500" s="3">
        <v>4.92</v>
      </c>
      <c r="L500" s="21">
        <v>5.9</v>
      </c>
      <c r="M500" s="3">
        <v>1.02</v>
      </c>
      <c r="N500" s="2" t="s">
        <v>180</v>
      </c>
      <c r="O500" s="4" t="s">
        <v>24</v>
      </c>
      <c r="P500" s="18" t="s">
        <v>350</v>
      </c>
      <c r="Q500" s="5">
        <f t="shared" si="21"/>
        <v>4.9880000000000004</v>
      </c>
      <c r="R500" s="5">
        <f t="shared" si="22"/>
        <v>6.125</v>
      </c>
      <c r="S500" s="5">
        <f t="shared" si="22"/>
        <v>2.9699999999999998</v>
      </c>
      <c r="T500" s="23">
        <f>('Investor-Inputs'!$G$19 * Q500) + ('Investor-Inputs'!$J$19 * R500) + ('Investor-Inputs'!$N$19 * S500)</f>
        <v>30.184000000000001</v>
      </c>
      <c r="U500" s="27">
        <f t="shared" si="23"/>
        <v>534</v>
      </c>
    </row>
    <row r="501" spans="3:21" x14ac:dyDescent="0.25">
      <c r="C501" s="2" t="s">
        <v>246</v>
      </c>
      <c r="D501" s="2">
        <v>5</v>
      </c>
      <c r="E501" s="2" t="s">
        <v>14</v>
      </c>
      <c r="F501" s="2" t="s">
        <v>241</v>
      </c>
      <c r="G501" s="3">
        <v>3.29</v>
      </c>
      <c r="H501" s="3">
        <v>2.44</v>
      </c>
      <c r="I501" s="3">
        <v>6.79</v>
      </c>
      <c r="J501" s="3">
        <v>6.19</v>
      </c>
      <c r="K501" s="3">
        <v>5.71</v>
      </c>
      <c r="L501" s="21">
        <v>6.33</v>
      </c>
      <c r="M501" s="3">
        <v>0.75</v>
      </c>
      <c r="N501" s="2" t="s">
        <v>171</v>
      </c>
      <c r="O501" s="4" t="s">
        <v>28</v>
      </c>
      <c r="P501" s="18" t="s">
        <v>350</v>
      </c>
      <c r="Q501" s="5">
        <f t="shared" si="21"/>
        <v>5.5709999999999997</v>
      </c>
      <c r="R501" s="5">
        <f t="shared" si="22"/>
        <v>6.26</v>
      </c>
      <c r="S501" s="5">
        <f t="shared" si="22"/>
        <v>3.23</v>
      </c>
      <c r="T501" s="23">
        <f>('Investor-Inputs'!$G$19 * Q501) + ('Investor-Inputs'!$J$19 * R501) + ('Investor-Inputs'!$N$19 * S501)</f>
        <v>32.463000000000001</v>
      </c>
      <c r="U501" s="27">
        <f t="shared" si="23"/>
        <v>490</v>
      </c>
    </row>
    <row r="502" spans="3:21" x14ac:dyDescent="0.25">
      <c r="C502" s="2" t="s">
        <v>247</v>
      </c>
      <c r="D502" s="2">
        <v>4</v>
      </c>
      <c r="E502" s="2" t="s">
        <v>14</v>
      </c>
      <c r="F502" s="2" t="s">
        <v>248</v>
      </c>
      <c r="G502" s="3">
        <v>4.74</v>
      </c>
      <c r="H502" s="3">
        <v>3.89</v>
      </c>
      <c r="I502" s="3">
        <v>6.99</v>
      </c>
      <c r="J502" s="3">
        <v>6.66</v>
      </c>
      <c r="K502" s="3">
        <v>5.98</v>
      </c>
      <c r="L502" s="21">
        <v>6.57</v>
      </c>
      <c r="M502" s="3">
        <v>0.97</v>
      </c>
      <c r="N502" s="2" t="s">
        <v>171</v>
      </c>
      <c r="O502" s="4" t="s">
        <v>17</v>
      </c>
      <c r="P502" s="18" t="s">
        <v>350</v>
      </c>
      <c r="Q502" s="5">
        <f t="shared" si="21"/>
        <v>5.7860000000000005</v>
      </c>
      <c r="R502" s="5">
        <f t="shared" si="22"/>
        <v>6.6150000000000002</v>
      </c>
      <c r="S502" s="5">
        <f t="shared" si="22"/>
        <v>3.4750000000000001</v>
      </c>
      <c r="T502" s="23">
        <f>('Investor-Inputs'!$G$19 * Q502) + ('Investor-Inputs'!$J$19 * R502) + ('Investor-Inputs'!$N$19 * S502)</f>
        <v>34.063000000000002</v>
      </c>
      <c r="U502" s="27">
        <f t="shared" si="23"/>
        <v>420</v>
      </c>
    </row>
    <row r="503" spans="3:21" x14ac:dyDescent="0.25">
      <c r="C503" s="2" t="s">
        <v>249</v>
      </c>
      <c r="D503" s="2">
        <v>4</v>
      </c>
      <c r="E503" s="2" t="s">
        <v>14</v>
      </c>
      <c r="F503" s="2" t="s">
        <v>248</v>
      </c>
      <c r="G503" s="3">
        <v>4.74</v>
      </c>
      <c r="H503" s="3">
        <v>4.1399999999999997</v>
      </c>
      <c r="I503" s="3">
        <v>6.87</v>
      </c>
      <c r="J503" s="3">
        <v>6.5</v>
      </c>
      <c r="K503" s="3">
        <v>5.67</v>
      </c>
      <c r="L503" s="21">
        <v>6.3</v>
      </c>
      <c r="M503" s="3">
        <v>0.67</v>
      </c>
      <c r="N503" s="2" t="s">
        <v>180</v>
      </c>
      <c r="O503" s="4" t="s">
        <v>24</v>
      </c>
      <c r="P503" s="18" t="s">
        <v>350</v>
      </c>
      <c r="Q503" s="5">
        <f t="shared" si="21"/>
        <v>5.5830000000000002</v>
      </c>
      <c r="R503" s="5">
        <f t="shared" si="22"/>
        <v>6.4</v>
      </c>
      <c r="S503" s="5">
        <f t="shared" si="22"/>
        <v>3.17</v>
      </c>
      <c r="T503" s="23">
        <f>('Investor-Inputs'!$G$19 * Q503) + ('Investor-Inputs'!$J$19 * R503) + ('Investor-Inputs'!$N$19 * S503)</f>
        <v>32.719000000000001</v>
      </c>
      <c r="U503" s="27">
        <f t="shared" si="23"/>
        <v>484</v>
      </c>
    </row>
    <row r="504" spans="3:21" x14ac:dyDescent="0.25">
      <c r="C504" s="2" t="s">
        <v>250</v>
      </c>
      <c r="D504" s="2">
        <v>4</v>
      </c>
      <c r="E504" s="2" t="s">
        <v>14</v>
      </c>
      <c r="F504" s="2" t="s">
        <v>248</v>
      </c>
      <c r="G504" s="3">
        <v>4.99</v>
      </c>
      <c r="H504" s="3">
        <v>4.0199999999999996</v>
      </c>
      <c r="I504" s="3">
        <v>7.17</v>
      </c>
      <c r="J504" s="3">
        <v>6.88</v>
      </c>
      <c r="K504" s="3">
        <v>5.61</v>
      </c>
      <c r="L504" s="21">
        <v>6.58</v>
      </c>
      <c r="M504" s="3">
        <v>0.59</v>
      </c>
      <c r="N504" s="2" t="s">
        <v>171</v>
      </c>
      <c r="O504" s="4" t="s">
        <v>28</v>
      </c>
      <c r="P504" s="18" t="s">
        <v>350</v>
      </c>
      <c r="Q504" s="5">
        <f t="shared" si="21"/>
        <v>5.673</v>
      </c>
      <c r="R504" s="5">
        <f t="shared" si="22"/>
        <v>6.73</v>
      </c>
      <c r="S504" s="5">
        <f t="shared" si="22"/>
        <v>3.1</v>
      </c>
      <c r="T504" s="23">
        <f>('Investor-Inputs'!$G$19 * Q504) + ('Investor-Inputs'!$J$19 * R504) + ('Investor-Inputs'!$N$19 * S504)</f>
        <v>33.579000000000001</v>
      </c>
      <c r="U504" s="27">
        <f t="shared" si="23"/>
        <v>464</v>
      </c>
    </row>
    <row r="505" spans="3:21" x14ac:dyDescent="0.25">
      <c r="C505" s="2" t="s">
        <v>251</v>
      </c>
      <c r="D505" s="2">
        <v>5</v>
      </c>
      <c r="E505" s="2" t="s">
        <v>14</v>
      </c>
      <c r="F505" s="2" t="s">
        <v>248</v>
      </c>
      <c r="G505" s="3">
        <v>5.91</v>
      </c>
      <c r="H505" s="3">
        <v>5.31</v>
      </c>
      <c r="I505" s="3">
        <v>6.95</v>
      </c>
      <c r="J505" s="3">
        <v>6.91</v>
      </c>
      <c r="K505" s="3">
        <v>5.53</v>
      </c>
      <c r="L505" s="21">
        <v>6.48</v>
      </c>
      <c r="M505" s="3">
        <v>0.56000000000000005</v>
      </c>
      <c r="N505" s="2" t="s">
        <v>180</v>
      </c>
      <c r="O505" s="4" t="s">
        <v>17</v>
      </c>
      <c r="P505" s="18" t="s">
        <v>350</v>
      </c>
      <c r="Q505" s="5">
        <f t="shared" si="21"/>
        <v>5.5449999999999999</v>
      </c>
      <c r="R505" s="5">
        <f t="shared" si="22"/>
        <v>6.6950000000000003</v>
      </c>
      <c r="S505" s="5">
        <f t="shared" si="22"/>
        <v>3.0449999999999999</v>
      </c>
      <c r="T505" s="23">
        <f>('Investor-Inputs'!$G$19 * Q505) + ('Investor-Inputs'!$J$19 * R505) + ('Investor-Inputs'!$N$19 * S505)</f>
        <v>33.07</v>
      </c>
      <c r="U505" s="27">
        <f t="shared" si="23"/>
        <v>478</v>
      </c>
    </row>
    <row r="506" spans="3:21" x14ac:dyDescent="0.25">
      <c r="C506" s="2" t="s">
        <v>252</v>
      </c>
      <c r="D506" s="2">
        <v>4</v>
      </c>
      <c r="E506" s="2" t="s">
        <v>14</v>
      </c>
      <c r="F506" s="2" t="s">
        <v>248</v>
      </c>
      <c r="G506" s="3">
        <v>5.8</v>
      </c>
      <c r="H506" s="3">
        <v>5.17</v>
      </c>
      <c r="I506" s="3">
        <v>7.38</v>
      </c>
      <c r="J506" s="3">
        <v>7.44</v>
      </c>
      <c r="K506" s="3">
        <v>6.06</v>
      </c>
      <c r="L506" s="21">
        <v>6.93</v>
      </c>
      <c r="M506" s="3">
        <v>0.75</v>
      </c>
      <c r="N506" s="2" t="s">
        <v>171</v>
      </c>
      <c r="O506" s="4" t="s">
        <v>17</v>
      </c>
      <c r="P506" s="18" t="s">
        <v>350</v>
      </c>
      <c r="Q506" s="5">
        <f t="shared" si="21"/>
        <v>5.9819999999999993</v>
      </c>
      <c r="R506" s="5">
        <f t="shared" si="22"/>
        <v>7.1850000000000005</v>
      </c>
      <c r="S506" s="5">
        <f t="shared" si="22"/>
        <v>3.4049999999999998</v>
      </c>
      <c r="T506" s="23">
        <f>('Investor-Inputs'!$G$19 * Q506) + ('Investor-Inputs'!$J$19 * R506) + ('Investor-Inputs'!$N$19 * S506)</f>
        <v>35.721000000000004</v>
      </c>
      <c r="U506" s="27">
        <f t="shared" si="23"/>
        <v>363</v>
      </c>
    </row>
    <row r="507" spans="3:21" x14ac:dyDescent="0.25">
      <c r="C507" s="2" t="s">
        <v>253</v>
      </c>
      <c r="D507" s="2">
        <v>5</v>
      </c>
      <c r="E507" s="2" t="s">
        <v>14</v>
      </c>
      <c r="F507" s="2" t="s">
        <v>248</v>
      </c>
      <c r="G507" s="3">
        <v>5.28</v>
      </c>
      <c r="H507" s="3">
        <v>4.5199999999999996</v>
      </c>
      <c r="I507" s="3">
        <v>7.29</v>
      </c>
      <c r="J507" s="3">
        <v>6.84</v>
      </c>
      <c r="K507" s="3">
        <v>6.41</v>
      </c>
      <c r="L507" s="21">
        <v>6.89</v>
      </c>
      <c r="M507" s="3">
        <v>0.56000000000000005</v>
      </c>
      <c r="N507" s="2" t="s">
        <v>171</v>
      </c>
      <c r="O507" s="4" t="s">
        <v>28</v>
      </c>
      <c r="P507" s="18" t="s">
        <v>350</v>
      </c>
      <c r="Q507" s="5">
        <f t="shared" si="21"/>
        <v>6.1210000000000004</v>
      </c>
      <c r="R507" s="5">
        <f t="shared" si="22"/>
        <v>6.8650000000000002</v>
      </c>
      <c r="S507" s="5">
        <f t="shared" si="22"/>
        <v>3.4850000000000003</v>
      </c>
      <c r="T507" s="23">
        <f>('Investor-Inputs'!$G$19 * Q507) + ('Investor-Inputs'!$J$19 * R507) + ('Investor-Inputs'!$N$19 * S507)</f>
        <v>35.578000000000003</v>
      </c>
      <c r="U507" s="27">
        <f t="shared" si="23"/>
        <v>377</v>
      </c>
    </row>
    <row r="508" spans="3:21" x14ac:dyDescent="0.25">
      <c r="C508" s="2" t="s">
        <v>254</v>
      </c>
      <c r="D508" s="2">
        <v>4</v>
      </c>
      <c r="E508" s="2" t="s">
        <v>14</v>
      </c>
      <c r="F508" s="2" t="s">
        <v>248</v>
      </c>
      <c r="G508" s="3">
        <v>4.59</v>
      </c>
      <c r="H508" s="3">
        <v>3.63</v>
      </c>
      <c r="I508" s="3">
        <v>7.03</v>
      </c>
      <c r="J508" s="3">
        <v>6.57</v>
      </c>
      <c r="K508" s="3">
        <v>6.05</v>
      </c>
      <c r="L508" s="21">
        <v>6.55</v>
      </c>
      <c r="M508" s="3">
        <v>0.7</v>
      </c>
      <c r="N508" s="2" t="s">
        <v>171</v>
      </c>
      <c r="O508" s="4" t="s">
        <v>17</v>
      </c>
      <c r="P508" s="18" t="s">
        <v>350</v>
      </c>
      <c r="Q508" s="5">
        <f t="shared" si="21"/>
        <v>5.8369999999999997</v>
      </c>
      <c r="R508" s="5">
        <f t="shared" si="22"/>
        <v>6.5600000000000005</v>
      </c>
      <c r="S508" s="5">
        <f t="shared" si="22"/>
        <v>3.375</v>
      </c>
      <c r="T508" s="23">
        <f>('Investor-Inputs'!$G$19 * Q508) + ('Investor-Inputs'!$J$19 * R508) + ('Investor-Inputs'!$N$19 * S508)</f>
        <v>34.006</v>
      </c>
      <c r="U508" s="27">
        <f t="shared" si="23"/>
        <v>424</v>
      </c>
    </row>
    <row r="509" spans="3:21" x14ac:dyDescent="0.25">
      <c r="C509" s="2" t="s">
        <v>255</v>
      </c>
      <c r="D509" s="2">
        <v>4</v>
      </c>
      <c r="E509" s="2" t="s">
        <v>14</v>
      </c>
      <c r="F509" s="2" t="s">
        <v>248</v>
      </c>
      <c r="G509" s="3">
        <v>4.4000000000000004</v>
      </c>
      <c r="H509" s="3">
        <v>3.52</v>
      </c>
      <c r="I509" s="3">
        <v>7.09</v>
      </c>
      <c r="J509" s="3">
        <v>6.6</v>
      </c>
      <c r="K509" s="3">
        <v>6.34</v>
      </c>
      <c r="L509" s="21">
        <v>6.71</v>
      </c>
      <c r="M509" s="3">
        <v>0.78</v>
      </c>
      <c r="N509" s="2" t="s">
        <v>171</v>
      </c>
      <c r="O509" s="4" t="s">
        <v>17</v>
      </c>
      <c r="P509" s="18" t="s">
        <v>350</v>
      </c>
      <c r="Q509" s="5">
        <f t="shared" si="21"/>
        <v>6.0060000000000002</v>
      </c>
      <c r="R509" s="5">
        <f t="shared" si="22"/>
        <v>6.6549999999999994</v>
      </c>
      <c r="S509" s="5">
        <f t="shared" si="22"/>
        <v>3.56</v>
      </c>
      <c r="T509" s="23">
        <f>('Investor-Inputs'!$G$19 * Q509) + ('Investor-Inputs'!$J$19 * R509) + ('Investor-Inputs'!$N$19 * S509)</f>
        <v>34.887999999999998</v>
      </c>
      <c r="U509" s="27">
        <f t="shared" si="23"/>
        <v>397</v>
      </c>
    </row>
    <row r="510" spans="3:21" x14ac:dyDescent="0.25">
      <c r="C510" s="2" t="s">
        <v>256</v>
      </c>
      <c r="D510" s="2">
        <v>4</v>
      </c>
      <c r="E510" s="2" t="s">
        <v>14</v>
      </c>
      <c r="F510" s="2" t="s">
        <v>257</v>
      </c>
      <c r="G510" s="3">
        <v>6.34</v>
      </c>
      <c r="H510" s="3">
        <v>5.65</v>
      </c>
      <c r="I510" s="3">
        <v>7.54</v>
      </c>
      <c r="J510" s="3">
        <v>7.32</v>
      </c>
      <c r="K510" s="3">
        <v>8.32</v>
      </c>
      <c r="L510" s="21">
        <v>7.46</v>
      </c>
      <c r="M510" s="3">
        <v>1.6</v>
      </c>
      <c r="N510" s="2" t="s">
        <v>242</v>
      </c>
      <c r="O510" s="4" t="s">
        <v>17</v>
      </c>
      <c r="P510" s="18" t="s">
        <v>350</v>
      </c>
      <c r="Q510" s="5">
        <f t="shared" si="21"/>
        <v>7.1760000000000002</v>
      </c>
      <c r="R510" s="5">
        <f t="shared" si="22"/>
        <v>7.3900000000000006</v>
      </c>
      <c r="S510" s="5">
        <f t="shared" si="22"/>
        <v>4.96</v>
      </c>
      <c r="T510" s="23">
        <f>('Investor-Inputs'!$G$19 * Q510) + ('Investor-Inputs'!$J$19 * R510) + ('Investor-Inputs'!$N$19 * S510)</f>
        <v>41.268000000000001</v>
      </c>
      <c r="U510" s="27">
        <f t="shared" si="23"/>
        <v>311</v>
      </c>
    </row>
    <row r="511" spans="3:21" x14ac:dyDescent="0.25">
      <c r="C511" s="2" t="s">
        <v>258</v>
      </c>
      <c r="D511" s="2">
        <v>4</v>
      </c>
      <c r="E511" s="2" t="s">
        <v>14</v>
      </c>
      <c r="F511" s="2" t="s">
        <v>257</v>
      </c>
      <c r="G511" s="3">
        <v>7.61</v>
      </c>
      <c r="H511" s="3">
        <v>6.71</v>
      </c>
      <c r="I511" s="3">
        <v>8.0399999999999991</v>
      </c>
      <c r="J511" s="3">
        <v>8.1</v>
      </c>
      <c r="K511" s="3">
        <v>7.26</v>
      </c>
      <c r="L511" s="21">
        <v>7.73</v>
      </c>
      <c r="M511" s="3">
        <v>1.37</v>
      </c>
      <c r="N511" s="2" t="s">
        <v>28</v>
      </c>
      <c r="O511" s="4" t="s">
        <v>17</v>
      </c>
      <c r="P511" s="18" t="s">
        <v>350</v>
      </c>
      <c r="Q511" s="5">
        <f t="shared" si="21"/>
        <v>6.8460000000000001</v>
      </c>
      <c r="R511" s="5">
        <f t="shared" si="22"/>
        <v>7.915</v>
      </c>
      <c r="S511" s="5">
        <f t="shared" si="22"/>
        <v>4.3149999999999995</v>
      </c>
      <c r="T511" s="23">
        <f>('Investor-Inputs'!$G$19 * Q511) + ('Investor-Inputs'!$J$19 * R511) + ('Investor-Inputs'!$N$19 * S511)</f>
        <v>40.683</v>
      </c>
      <c r="U511" s="27">
        <f t="shared" si="23"/>
        <v>319</v>
      </c>
    </row>
    <row r="512" spans="3:21" x14ac:dyDescent="0.25">
      <c r="C512" s="2" t="s">
        <v>259</v>
      </c>
      <c r="D512" s="2">
        <v>5</v>
      </c>
      <c r="E512" s="2" t="s">
        <v>14</v>
      </c>
      <c r="F512" s="2" t="s">
        <v>257</v>
      </c>
      <c r="G512" s="3">
        <v>5.98</v>
      </c>
      <c r="H512" s="3">
        <v>6.71</v>
      </c>
      <c r="I512" s="3">
        <v>8.1300000000000008</v>
      </c>
      <c r="J512" s="3">
        <v>8.1199999999999992</v>
      </c>
      <c r="K512" s="3">
        <v>6.93</v>
      </c>
      <c r="L512" s="21">
        <v>7.99</v>
      </c>
      <c r="M512" s="3">
        <v>1.46</v>
      </c>
      <c r="N512" s="2" t="s">
        <v>171</v>
      </c>
      <c r="O512" s="4" t="s">
        <v>28</v>
      </c>
      <c r="P512" s="18" t="s">
        <v>350</v>
      </c>
      <c r="Q512" s="5">
        <f t="shared" si="21"/>
        <v>6.7170000000000005</v>
      </c>
      <c r="R512" s="5">
        <f t="shared" si="22"/>
        <v>8.0549999999999997</v>
      </c>
      <c r="S512" s="5">
        <f t="shared" si="22"/>
        <v>4.1950000000000003</v>
      </c>
      <c r="T512" s="23">
        <f>('Investor-Inputs'!$G$19 * Q512) + ('Investor-Inputs'!$J$19 * R512) + ('Investor-Inputs'!$N$19 * S512)</f>
        <v>40.456000000000003</v>
      </c>
      <c r="U512" s="27">
        <f t="shared" si="23"/>
        <v>323</v>
      </c>
    </row>
    <row r="513" spans="3:21" x14ac:dyDescent="0.25">
      <c r="C513" s="2" t="s">
        <v>260</v>
      </c>
      <c r="D513" s="2">
        <v>4</v>
      </c>
      <c r="E513" s="2" t="s">
        <v>14</v>
      </c>
      <c r="F513" s="2" t="s">
        <v>257</v>
      </c>
      <c r="G513" s="3">
        <v>7.15</v>
      </c>
      <c r="H513" s="3">
        <v>6.42</v>
      </c>
      <c r="I513" s="3">
        <v>8.02</v>
      </c>
      <c r="J513" s="3">
        <v>7.94</v>
      </c>
      <c r="K513" s="3">
        <v>8.33</v>
      </c>
      <c r="L513" s="21">
        <v>7.76</v>
      </c>
      <c r="M513" s="3">
        <v>1.51</v>
      </c>
      <c r="N513" s="2" t="s">
        <v>28</v>
      </c>
      <c r="O513" s="4" t="s">
        <v>17</v>
      </c>
      <c r="P513" s="18" t="s">
        <v>350</v>
      </c>
      <c r="Q513" s="5">
        <f t="shared" si="21"/>
        <v>7.3730000000000002</v>
      </c>
      <c r="R513" s="5">
        <f t="shared" si="22"/>
        <v>7.85</v>
      </c>
      <c r="S513" s="5">
        <f t="shared" si="22"/>
        <v>4.92</v>
      </c>
      <c r="T513" s="23">
        <f>('Investor-Inputs'!$G$19 * Q513) + ('Investor-Inputs'!$J$19 * R513) + ('Investor-Inputs'!$N$19 * S513)</f>
        <v>42.739000000000004</v>
      </c>
      <c r="U513" s="27">
        <f t="shared" si="23"/>
        <v>299</v>
      </c>
    </row>
    <row r="514" spans="3:21" x14ac:dyDescent="0.25">
      <c r="C514" s="2" t="s">
        <v>261</v>
      </c>
      <c r="D514" s="2">
        <v>4</v>
      </c>
      <c r="E514" s="2" t="s">
        <v>14</v>
      </c>
      <c r="F514" s="2" t="s">
        <v>262</v>
      </c>
      <c r="G514" s="3">
        <v>4.6900000000000004</v>
      </c>
      <c r="H514" s="3">
        <v>3.9</v>
      </c>
      <c r="I514" s="3">
        <v>6.64</v>
      </c>
      <c r="J514" s="3">
        <v>6.36</v>
      </c>
      <c r="K514" s="3">
        <v>5.72</v>
      </c>
      <c r="L514" s="21">
        <v>6.27</v>
      </c>
      <c r="M514" s="3">
        <v>0.65</v>
      </c>
      <c r="N514" s="2" t="s">
        <v>171</v>
      </c>
      <c r="O514" s="4" t="s">
        <v>24</v>
      </c>
      <c r="P514" s="18" t="s">
        <v>350</v>
      </c>
      <c r="Q514" s="5">
        <f t="shared" si="21"/>
        <v>5.516</v>
      </c>
      <c r="R514" s="5">
        <f t="shared" si="22"/>
        <v>6.3149999999999995</v>
      </c>
      <c r="S514" s="5">
        <f t="shared" si="22"/>
        <v>3.1850000000000001</v>
      </c>
      <c r="T514" s="23">
        <f>('Investor-Inputs'!$G$19 * Q514) + ('Investor-Inputs'!$J$19 * R514) + ('Investor-Inputs'!$N$19 * S514)</f>
        <v>32.363</v>
      </c>
      <c r="U514" s="27">
        <f t="shared" si="23"/>
        <v>492</v>
      </c>
    </row>
    <row r="515" spans="3:21" x14ac:dyDescent="0.25">
      <c r="C515" s="2" t="s">
        <v>263</v>
      </c>
      <c r="D515" s="2">
        <v>4</v>
      </c>
      <c r="E515" s="2" t="s">
        <v>14</v>
      </c>
      <c r="F515" s="2" t="s">
        <v>262</v>
      </c>
      <c r="G515" s="3">
        <v>4.6900000000000004</v>
      </c>
      <c r="H515" s="3">
        <v>4.0999999999999996</v>
      </c>
      <c r="I515" s="3">
        <v>6.59</v>
      </c>
      <c r="J515" s="3">
        <v>6.3</v>
      </c>
      <c r="K515" s="3">
        <v>5.7</v>
      </c>
      <c r="L515" s="21">
        <v>6.25</v>
      </c>
      <c r="M515" s="3">
        <v>0.65</v>
      </c>
      <c r="N515" s="2" t="s">
        <v>180</v>
      </c>
      <c r="O515" s="4" t="s">
        <v>17</v>
      </c>
      <c r="P515" s="18" t="s">
        <v>350</v>
      </c>
      <c r="Q515" s="5">
        <f t="shared" si="21"/>
        <v>5.4860000000000007</v>
      </c>
      <c r="R515" s="5">
        <f t="shared" si="22"/>
        <v>6.2750000000000004</v>
      </c>
      <c r="S515" s="5">
        <f t="shared" si="22"/>
        <v>3.1750000000000003</v>
      </c>
      <c r="T515" s="23">
        <f>('Investor-Inputs'!$G$19 * Q515) + ('Investor-Inputs'!$J$19 * R515) + ('Investor-Inputs'!$N$19 * S515)</f>
        <v>32.183</v>
      </c>
      <c r="U515" s="27">
        <f t="shared" si="23"/>
        <v>498</v>
      </c>
    </row>
    <row r="516" spans="3:21" x14ac:dyDescent="0.25">
      <c r="C516" s="2" t="s">
        <v>264</v>
      </c>
      <c r="D516" s="2">
        <v>5</v>
      </c>
      <c r="E516" s="2" t="s">
        <v>14</v>
      </c>
      <c r="F516" s="2" t="s">
        <v>262</v>
      </c>
      <c r="G516" s="3">
        <v>5.98</v>
      </c>
      <c r="H516" s="3">
        <v>5.44</v>
      </c>
      <c r="I516" s="3">
        <v>7.1</v>
      </c>
      <c r="J516" s="3">
        <v>7.01</v>
      </c>
      <c r="K516" s="3">
        <v>5.95</v>
      </c>
      <c r="L516" s="21">
        <v>6.7</v>
      </c>
      <c r="M516" s="3">
        <v>0.5</v>
      </c>
      <c r="N516" s="2" t="s">
        <v>171</v>
      </c>
      <c r="O516" s="4" t="s">
        <v>28</v>
      </c>
      <c r="P516" s="18" t="s">
        <v>350</v>
      </c>
      <c r="Q516" s="5">
        <f t="shared" si="21"/>
        <v>5.8149999999999995</v>
      </c>
      <c r="R516" s="5">
        <f t="shared" si="22"/>
        <v>6.8550000000000004</v>
      </c>
      <c r="S516" s="5">
        <f t="shared" si="22"/>
        <v>3.2250000000000001</v>
      </c>
      <c r="T516" s="23">
        <f>('Investor-Inputs'!$G$19 * Q516) + ('Investor-Inputs'!$J$19 * R516) + ('Investor-Inputs'!$N$19 * S516)</f>
        <v>34.380000000000003</v>
      </c>
      <c r="U516" s="27">
        <f t="shared" si="23"/>
        <v>412</v>
      </c>
    </row>
    <row r="517" spans="3:21" x14ac:dyDescent="0.25">
      <c r="C517" s="2" t="s">
        <v>265</v>
      </c>
      <c r="D517" s="2">
        <v>5</v>
      </c>
      <c r="E517" s="2" t="s">
        <v>14</v>
      </c>
      <c r="F517" s="2" t="s">
        <v>262</v>
      </c>
      <c r="G517" s="3">
        <v>4.8</v>
      </c>
      <c r="H517" s="3">
        <v>4.01</v>
      </c>
      <c r="I517" s="3">
        <v>6.99</v>
      </c>
      <c r="J517" s="3">
        <v>6.48</v>
      </c>
      <c r="K517" s="3">
        <v>6.23</v>
      </c>
      <c r="L517" s="21">
        <v>6.59</v>
      </c>
      <c r="M517" s="3">
        <v>0.74</v>
      </c>
      <c r="N517" s="2" t="s">
        <v>171</v>
      </c>
      <c r="O517" s="4" t="s">
        <v>17</v>
      </c>
      <c r="P517" s="18" t="s">
        <v>350</v>
      </c>
      <c r="Q517" s="5">
        <f t="shared" si="21"/>
        <v>5.9110000000000005</v>
      </c>
      <c r="R517" s="5">
        <f t="shared" si="22"/>
        <v>6.5350000000000001</v>
      </c>
      <c r="S517" s="5">
        <f t="shared" si="22"/>
        <v>3.4850000000000003</v>
      </c>
      <c r="T517" s="23">
        <f>('Investor-Inputs'!$G$19 * Q517) + ('Investor-Inputs'!$J$19 * R517) + ('Investor-Inputs'!$N$19 * S517)</f>
        <v>34.288000000000004</v>
      </c>
      <c r="U517" s="27">
        <f t="shared" si="23"/>
        <v>414</v>
      </c>
    </row>
    <row r="518" spans="3:21" x14ac:dyDescent="0.25">
      <c r="C518" s="2" t="s">
        <v>266</v>
      </c>
      <c r="D518" s="2">
        <v>4</v>
      </c>
      <c r="E518" s="2" t="s">
        <v>14</v>
      </c>
      <c r="F518" s="2" t="s">
        <v>262</v>
      </c>
      <c r="G518" s="3">
        <v>4.5599999999999996</v>
      </c>
      <c r="H518" s="3">
        <v>3.8</v>
      </c>
      <c r="I518" s="3">
        <v>6.86</v>
      </c>
      <c r="J518" s="3">
        <v>6.47</v>
      </c>
      <c r="K518" s="3">
        <v>5.61</v>
      </c>
      <c r="L518" s="21">
        <v>6.35</v>
      </c>
      <c r="M518" s="3">
        <v>0.42</v>
      </c>
      <c r="N518" s="2" t="s">
        <v>171</v>
      </c>
      <c r="O518" s="4" t="s">
        <v>17</v>
      </c>
      <c r="P518" s="18" t="s">
        <v>350</v>
      </c>
      <c r="Q518" s="5">
        <f t="shared" si="21"/>
        <v>5.5490000000000004</v>
      </c>
      <c r="R518" s="5">
        <f t="shared" si="22"/>
        <v>6.41</v>
      </c>
      <c r="S518" s="5">
        <f t="shared" si="22"/>
        <v>3.0150000000000001</v>
      </c>
      <c r="T518" s="23">
        <f>('Investor-Inputs'!$G$19 * Q518) + ('Investor-Inputs'!$J$19 * R518) + ('Investor-Inputs'!$N$19 * S518)</f>
        <v>32.481999999999999</v>
      </c>
      <c r="U518" s="27">
        <f t="shared" si="23"/>
        <v>488</v>
      </c>
    </row>
    <row r="519" spans="3:21" x14ac:dyDescent="0.25">
      <c r="C519" s="2" t="s">
        <v>267</v>
      </c>
      <c r="D519" s="2">
        <v>5</v>
      </c>
      <c r="E519" s="2" t="s">
        <v>14</v>
      </c>
      <c r="F519" s="2" t="s">
        <v>262</v>
      </c>
      <c r="G519" s="3">
        <v>5.81</v>
      </c>
      <c r="H519" s="3">
        <v>5.17</v>
      </c>
      <c r="I519" s="3">
        <v>6.93</v>
      </c>
      <c r="J519" s="3">
        <v>6.9</v>
      </c>
      <c r="K519" s="3">
        <v>7.19</v>
      </c>
      <c r="L519" s="21">
        <v>7.24</v>
      </c>
      <c r="M519" s="3">
        <v>0.46</v>
      </c>
      <c r="N519" s="2" t="s">
        <v>180</v>
      </c>
      <c r="O519" s="4" t="s">
        <v>28</v>
      </c>
      <c r="P519" s="18" t="s">
        <v>350</v>
      </c>
      <c r="Q519" s="5">
        <f t="shared" si="21"/>
        <v>6.3670000000000009</v>
      </c>
      <c r="R519" s="5">
        <f t="shared" si="22"/>
        <v>7.07</v>
      </c>
      <c r="S519" s="5">
        <f t="shared" si="22"/>
        <v>3.8250000000000002</v>
      </c>
      <c r="T519" s="23">
        <f>('Investor-Inputs'!$G$19 * Q519) + ('Investor-Inputs'!$J$19 * R519) + ('Investor-Inputs'!$N$19 * S519)</f>
        <v>37.066000000000003</v>
      </c>
      <c r="U519" s="27">
        <f t="shared" si="23"/>
        <v>341</v>
      </c>
    </row>
    <row r="520" spans="3:21" x14ac:dyDescent="0.25">
      <c r="C520" s="2" t="s">
        <v>268</v>
      </c>
      <c r="D520" s="2">
        <v>5</v>
      </c>
      <c r="E520" s="2" t="s">
        <v>14</v>
      </c>
      <c r="F520" s="2" t="s">
        <v>269</v>
      </c>
      <c r="G520" s="3">
        <v>6.15</v>
      </c>
      <c r="H520" s="3">
        <v>5.6</v>
      </c>
      <c r="I520" s="3">
        <v>7.34</v>
      </c>
      <c r="J520" s="3">
        <v>7.07</v>
      </c>
      <c r="K520" s="3">
        <v>6.41</v>
      </c>
      <c r="L520" s="21">
        <v>6.97</v>
      </c>
      <c r="M520" s="3">
        <v>0.43</v>
      </c>
      <c r="N520" s="2" t="s">
        <v>180</v>
      </c>
      <c r="O520" s="4" t="s">
        <v>24</v>
      </c>
      <c r="P520" s="18" t="s">
        <v>350</v>
      </c>
      <c r="Q520" s="5">
        <f t="shared" ref="Q520:Q583" si="24">I520*0.4+K520*0.5</f>
        <v>6.141</v>
      </c>
      <c r="R520" s="5">
        <f t="shared" ref="R520:S583" si="25">(L520+J520)/2</f>
        <v>7.02</v>
      </c>
      <c r="S520" s="5">
        <f t="shared" si="25"/>
        <v>3.42</v>
      </c>
      <c r="T520" s="23">
        <f>('Investor-Inputs'!$G$19 * Q520) + ('Investor-Inputs'!$J$19 * R520) + ('Investor-Inputs'!$N$19 * S520)</f>
        <v>35.883000000000003</v>
      </c>
      <c r="U520" s="27">
        <f t="shared" ref="U520:U583" si="26">_xlfn.RANK.EQ(T520,$T$7:$T$592,0)</f>
        <v>353</v>
      </c>
    </row>
    <row r="521" spans="3:21" x14ac:dyDescent="0.25">
      <c r="C521" s="2" t="s">
        <v>270</v>
      </c>
      <c r="D521" s="2">
        <v>4</v>
      </c>
      <c r="E521" s="2" t="s">
        <v>14</v>
      </c>
      <c r="F521" s="2" t="s">
        <v>269</v>
      </c>
      <c r="G521" s="3">
        <v>5.98</v>
      </c>
      <c r="H521" s="3">
        <v>5.27</v>
      </c>
      <c r="I521" s="3">
        <v>7.57</v>
      </c>
      <c r="J521" s="3">
        <v>7.16</v>
      </c>
      <c r="K521" s="3">
        <v>6.57</v>
      </c>
      <c r="L521" s="21">
        <v>7.09</v>
      </c>
      <c r="M521" s="3">
        <v>0.54</v>
      </c>
      <c r="N521" s="2" t="s">
        <v>171</v>
      </c>
      <c r="O521" s="4" t="s">
        <v>24</v>
      </c>
      <c r="P521" s="18" t="s">
        <v>350</v>
      </c>
      <c r="Q521" s="5">
        <f t="shared" si="24"/>
        <v>6.3130000000000006</v>
      </c>
      <c r="R521" s="5">
        <f t="shared" si="25"/>
        <v>7.125</v>
      </c>
      <c r="S521" s="5">
        <f t="shared" si="25"/>
        <v>3.5550000000000002</v>
      </c>
      <c r="T521" s="23">
        <f>('Investor-Inputs'!$G$19 * Q521) + ('Investor-Inputs'!$J$19 * R521) + ('Investor-Inputs'!$N$19 * S521)</f>
        <v>36.744</v>
      </c>
      <c r="U521" s="27">
        <f t="shared" si="26"/>
        <v>345</v>
      </c>
    </row>
    <row r="522" spans="3:21" x14ac:dyDescent="0.25">
      <c r="C522" s="2" t="s">
        <v>271</v>
      </c>
      <c r="D522" s="2">
        <v>4</v>
      </c>
      <c r="E522" s="2" t="s">
        <v>14</v>
      </c>
      <c r="F522" s="2" t="s">
        <v>269</v>
      </c>
      <c r="G522" s="3">
        <v>5.96</v>
      </c>
      <c r="H522" s="3">
        <v>4.96</v>
      </c>
      <c r="I522" s="3">
        <v>7.46</v>
      </c>
      <c r="J522" s="3">
        <v>7.15</v>
      </c>
      <c r="K522" s="3">
        <v>6.37</v>
      </c>
      <c r="L522" s="21">
        <v>6.92</v>
      </c>
      <c r="M522" s="3">
        <v>0.63</v>
      </c>
      <c r="N522" s="2" t="s">
        <v>171</v>
      </c>
      <c r="O522" s="4" t="s">
        <v>24</v>
      </c>
      <c r="P522" s="18" t="s">
        <v>350</v>
      </c>
      <c r="Q522" s="5">
        <f t="shared" si="24"/>
        <v>6.1690000000000005</v>
      </c>
      <c r="R522" s="5">
        <f t="shared" si="25"/>
        <v>7.0350000000000001</v>
      </c>
      <c r="S522" s="5">
        <f t="shared" si="25"/>
        <v>3.5</v>
      </c>
      <c r="T522" s="23">
        <f>('Investor-Inputs'!$G$19 * Q522) + ('Investor-Inputs'!$J$19 * R522) + ('Investor-Inputs'!$N$19 * S522)</f>
        <v>36.076999999999998</v>
      </c>
      <c r="U522" s="27">
        <f t="shared" si="26"/>
        <v>351</v>
      </c>
    </row>
    <row r="523" spans="3:21" x14ac:dyDescent="0.25">
      <c r="C523" s="2" t="s">
        <v>272</v>
      </c>
      <c r="D523" s="2">
        <v>4</v>
      </c>
      <c r="E523" s="2" t="s">
        <v>14</v>
      </c>
      <c r="F523" s="2" t="s">
        <v>273</v>
      </c>
      <c r="G523" s="3">
        <v>0.25</v>
      </c>
      <c r="H523" s="3">
        <v>1.48</v>
      </c>
      <c r="I523" s="3">
        <v>6.51</v>
      </c>
      <c r="J523" s="3">
        <v>5.38</v>
      </c>
      <c r="K523" s="3">
        <v>5.38</v>
      </c>
      <c r="L523" s="21">
        <v>5.8</v>
      </c>
      <c r="M523" s="3">
        <v>0.86</v>
      </c>
      <c r="N523" s="2" t="s">
        <v>171</v>
      </c>
      <c r="O523" s="4" t="s">
        <v>17</v>
      </c>
      <c r="P523" s="18" t="s">
        <v>350</v>
      </c>
      <c r="Q523" s="5">
        <f t="shared" si="24"/>
        <v>5.2940000000000005</v>
      </c>
      <c r="R523" s="5">
        <f t="shared" si="25"/>
        <v>5.59</v>
      </c>
      <c r="S523" s="5">
        <f t="shared" si="25"/>
        <v>3.12</v>
      </c>
      <c r="T523" s="23">
        <f>('Investor-Inputs'!$G$19 * Q523) + ('Investor-Inputs'!$J$19 * R523) + ('Investor-Inputs'!$N$19 * S523)</f>
        <v>30.182000000000002</v>
      </c>
      <c r="U523" s="27">
        <f t="shared" si="26"/>
        <v>536</v>
      </c>
    </row>
    <row r="524" spans="3:21" x14ac:dyDescent="0.25">
      <c r="C524" s="2" t="s">
        <v>274</v>
      </c>
      <c r="D524" s="2">
        <v>5</v>
      </c>
      <c r="E524" s="2" t="s">
        <v>14</v>
      </c>
      <c r="F524" s="2" t="s">
        <v>273</v>
      </c>
      <c r="G524" s="3">
        <v>-0.12</v>
      </c>
      <c r="H524" s="3">
        <v>-0.21</v>
      </c>
      <c r="I524" s="3">
        <v>6.04</v>
      </c>
      <c r="J524" s="3">
        <v>4.78</v>
      </c>
      <c r="K524" s="3">
        <v>5.12</v>
      </c>
      <c r="L524" s="21">
        <v>5.45</v>
      </c>
      <c r="M524" s="3">
        <v>0.46</v>
      </c>
      <c r="N524" s="2" t="s">
        <v>171</v>
      </c>
      <c r="O524" s="4" t="s">
        <v>17</v>
      </c>
      <c r="P524" s="18" t="s">
        <v>350</v>
      </c>
      <c r="Q524" s="5">
        <f t="shared" si="24"/>
        <v>4.9760000000000009</v>
      </c>
      <c r="R524" s="5">
        <f t="shared" si="25"/>
        <v>5.1150000000000002</v>
      </c>
      <c r="S524" s="5">
        <f t="shared" si="25"/>
        <v>2.79</v>
      </c>
      <c r="T524" s="23">
        <f>('Investor-Inputs'!$G$19 * Q524) + ('Investor-Inputs'!$J$19 * R524) + ('Investor-Inputs'!$N$19 * S524)</f>
        <v>27.948</v>
      </c>
      <c r="U524" s="27">
        <f t="shared" si="26"/>
        <v>558</v>
      </c>
    </row>
    <row r="525" spans="3:21" x14ac:dyDescent="0.25">
      <c r="C525" s="2" t="s">
        <v>275</v>
      </c>
      <c r="D525" s="2">
        <v>4</v>
      </c>
      <c r="E525" s="2" t="s">
        <v>14</v>
      </c>
      <c r="F525" s="2" t="s">
        <v>273</v>
      </c>
      <c r="G525" s="3">
        <v>1.95</v>
      </c>
      <c r="H525" s="3">
        <v>3.53</v>
      </c>
      <c r="I525" s="3">
        <v>5.67</v>
      </c>
      <c r="J525" s="3">
        <v>5.37</v>
      </c>
      <c r="K525" s="3">
        <v>4.8099999999999996</v>
      </c>
      <c r="L525" s="21">
        <v>5.31</v>
      </c>
      <c r="M525" s="3">
        <v>1.1499999999999999</v>
      </c>
      <c r="N525" s="2" t="s">
        <v>171</v>
      </c>
      <c r="O525" s="4" t="s">
        <v>24</v>
      </c>
      <c r="P525" s="18" t="s">
        <v>350</v>
      </c>
      <c r="Q525" s="5">
        <f t="shared" si="24"/>
        <v>4.673</v>
      </c>
      <c r="R525" s="5">
        <f t="shared" si="25"/>
        <v>5.34</v>
      </c>
      <c r="S525" s="5">
        <f t="shared" si="25"/>
        <v>2.9799999999999995</v>
      </c>
      <c r="T525" s="23">
        <f>('Investor-Inputs'!$G$19 * Q525) + ('Investor-Inputs'!$J$19 * R525) + ('Investor-Inputs'!$N$19 * S525)</f>
        <v>27.678999999999998</v>
      </c>
      <c r="U525" s="27">
        <f t="shared" si="26"/>
        <v>560</v>
      </c>
    </row>
    <row r="526" spans="3:21" x14ac:dyDescent="0.25">
      <c r="C526" s="2" t="s">
        <v>276</v>
      </c>
      <c r="D526" s="2">
        <v>4</v>
      </c>
      <c r="E526" s="2" t="s">
        <v>14</v>
      </c>
      <c r="F526" s="2" t="s">
        <v>273</v>
      </c>
      <c r="G526" s="3">
        <v>-0.21</v>
      </c>
      <c r="H526" s="3">
        <v>0.31</v>
      </c>
      <c r="I526" s="3">
        <v>5.83</v>
      </c>
      <c r="J526" s="3">
        <v>4.63</v>
      </c>
      <c r="K526" s="3">
        <v>4.9800000000000004</v>
      </c>
      <c r="L526" s="21">
        <v>5.23</v>
      </c>
      <c r="M526" s="3">
        <v>0.93</v>
      </c>
      <c r="N526" s="2" t="s">
        <v>171</v>
      </c>
      <c r="O526" s="4" t="s">
        <v>17</v>
      </c>
      <c r="P526" s="18" t="s">
        <v>350</v>
      </c>
      <c r="Q526" s="5">
        <f t="shared" si="24"/>
        <v>4.822000000000001</v>
      </c>
      <c r="R526" s="5">
        <f t="shared" si="25"/>
        <v>4.93</v>
      </c>
      <c r="S526" s="5">
        <f t="shared" si="25"/>
        <v>2.9550000000000001</v>
      </c>
      <c r="T526" s="23">
        <f>('Investor-Inputs'!$G$19 * Q526) + ('Investor-Inputs'!$J$19 * R526) + ('Investor-Inputs'!$N$19 * S526)</f>
        <v>27.280999999999999</v>
      </c>
      <c r="U526" s="27">
        <f t="shared" si="26"/>
        <v>562</v>
      </c>
    </row>
    <row r="527" spans="3:21" x14ac:dyDescent="0.25">
      <c r="C527" s="2" t="s">
        <v>277</v>
      </c>
      <c r="D527" s="2">
        <v>5</v>
      </c>
      <c r="E527" s="2" t="s">
        <v>14</v>
      </c>
      <c r="F527" s="2" t="s">
        <v>273</v>
      </c>
      <c r="G527" s="3">
        <v>1.99</v>
      </c>
      <c r="H527" s="3">
        <v>1.66</v>
      </c>
      <c r="I527" s="3">
        <v>6.66</v>
      </c>
      <c r="J527" s="3">
        <v>5.54</v>
      </c>
      <c r="K527" s="3">
        <v>6.03</v>
      </c>
      <c r="L527" s="21">
        <v>6.17</v>
      </c>
      <c r="M527" s="3">
        <v>1.1000000000000001</v>
      </c>
      <c r="N527" s="2" t="s">
        <v>171</v>
      </c>
      <c r="O527" s="4" t="s">
        <v>28</v>
      </c>
      <c r="P527" s="18" t="s">
        <v>350</v>
      </c>
      <c r="Q527" s="5">
        <f t="shared" si="24"/>
        <v>5.6790000000000003</v>
      </c>
      <c r="R527" s="5">
        <f t="shared" si="25"/>
        <v>5.8550000000000004</v>
      </c>
      <c r="S527" s="5">
        <f t="shared" si="25"/>
        <v>3.5650000000000004</v>
      </c>
      <c r="T527" s="23">
        <f>('Investor-Inputs'!$G$19 * Q527) + ('Investor-Inputs'!$J$19 * R527) + ('Investor-Inputs'!$N$19 * S527)</f>
        <v>32.311999999999998</v>
      </c>
      <c r="U527" s="27">
        <f t="shared" si="26"/>
        <v>494</v>
      </c>
    </row>
    <row r="528" spans="3:21" x14ac:dyDescent="0.25">
      <c r="C528" s="2" t="s">
        <v>278</v>
      </c>
      <c r="D528" s="2">
        <v>5</v>
      </c>
      <c r="E528" s="2" t="s">
        <v>14</v>
      </c>
      <c r="F528" s="2" t="s">
        <v>273</v>
      </c>
      <c r="G528" s="3">
        <v>4.49</v>
      </c>
      <c r="H528" s="3">
        <v>3.29</v>
      </c>
      <c r="I528" s="3">
        <v>6.76</v>
      </c>
      <c r="J528" s="3">
        <v>6.43</v>
      </c>
      <c r="K528" s="2"/>
      <c r="L528" s="20"/>
      <c r="M528" s="3">
        <v>0.27</v>
      </c>
      <c r="N528" s="2" t="s">
        <v>171</v>
      </c>
      <c r="O528" s="4" t="s">
        <v>28</v>
      </c>
      <c r="P528" s="18" t="s">
        <v>350</v>
      </c>
      <c r="Q528" s="5">
        <f t="shared" si="24"/>
        <v>2.7040000000000002</v>
      </c>
      <c r="R528" s="5">
        <f t="shared" si="25"/>
        <v>3.2149999999999999</v>
      </c>
      <c r="S528" s="5">
        <f t="shared" si="25"/>
        <v>0.13500000000000001</v>
      </c>
      <c r="T528" s="23">
        <f>('Investor-Inputs'!$G$19 * Q528) + ('Investor-Inputs'!$J$19 * R528) + ('Investor-Inputs'!$N$19 * S528)</f>
        <v>14.677</v>
      </c>
      <c r="U528" s="27">
        <f t="shared" si="26"/>
        <v>581</v>
      </c>
    </row>
    <row r="529" spans="3:21" x14ac:dyDescent="0.25">
      <c r="C529" s="2" t="s">
        <v>279</v>
      </c>
      <c r="D529" s="2">
        <v>4</v>
      </c>
      <c r="E529" s="2" t="s">
        <v>14</v>
      </c>
      <c r="F529" s="2" t="s">
        <v>273</v>
      </c>
      <c r="G529" s="3">
        <v>0.12</v>
      </c>
      <c r="H529" s="3">
        <v>1.64</v>
      </c>
      <c r="I529" s="3">
        <v>6.11</v>
      </c>
      <c r="J529" s="3">
        <v>5</v>
      </c>
      <c r="K529" s="3">
        <v>5.69</v>
      </c>
      <c r="L529" s="21">
        <v>5.8</v>
      </c>
      <c r="M529" s="3">
        <v>0.96</v>
      </c>
      <c r="N529" s="2" t="s">
        <v>171</v>
      </c>
      <c r="O529" s="4" t="s">
        <v>17</v>
      </c>
      <c r="P529" s="18" t="s">
        <v>350</v>
      </c>
      <c r="Q529" s="5">
        <f t="shared" si="24"/>
        <v>5.2890000000000006</v>
      </c>
      <c r="R529" s="5">
        <f t="shared" si="25"/>
        <v>5.4</v>
      </c>
      <c r="S529" s="5">
        <f t="shared" si="25"/>
        <v>3.3250000000000002</v>
      </c>
      <c r="T529" s="23">
        <f>('Investor-Inputs'!$G$19 * Q529) + ('Investor-Inputs'!$J$19 * R529) + ('Investor-Inputs'!$N$19 * S529)</f>
        <v>29.992000000000001</v>
      </c>
      <c r="U529" s="27">
        <f t="shared" si="26"/>
        <v>540</v>
      </c>
    </row>
    <row r="530" spans="3:21" x14ac:dyDescent="0.25">
      <c r="C530" s="2" t="s">
        <v>280</v>
      </c>
      <c r="D530" s="2">
        <v>4</v>
      </c>
      <c r="E530" s="2" t="s">
        <v>14</v>
      </c>
      <c r="F530" s="2" t="s">
        <v>273</v>
      </c>
      <c r="G530" s="3">
        <v>2.21</v>
      </c>
      <c r="H530" s="3">
        <v>4.46</v>
      </c>
      <c r="I530" s="3">
        <v>6.58</v>
      </c>
      <c r="J530" s="3">
        <v>6.09</v>
      </c>
      <c r="K530" s="3">
        <v>5.56</v>
      </c>
      <c r="L530" s="21">
        <v>6.17</v>
      </c>
      <c r="M530" s="3">
        <v>0.99</v>
      </c>
      <c r="N530" s="2" t="s">
        <v>171</v>
      </c>
      <c r="O530" s="4" t="s">
        <v>17</v>
      </c>
      <c r="P530" s="18" t="s">
        <v>350</v>
      </c>
      <c r="Q530" s="5">
        <f t="shared" si="24"/>
        <v>5.4119999999999999</v>
      </c>
      <c r="R530" s="5">
        <f t="shared" si="25"/>
        <v>6.13</v>
      </c>
      <c r="S530" s="5">
        <f t="shared" si="25"/>
        <v>3.2749999999999999</v>
      </c>
      <c r="T530" s="23">
        <f>('Investor-Inputs'!$G$19 * Q530) + ('Investor-Inputs'!$J$19 * R530) + ('Investor-Inputs'!$N$19 * S530)</f>
        <v>31.771000000000001</v>
      </c>
      <c r="U530" s="27">
        <f t="shared" si="26"/>
        <v>506</v>
      </c>
    </row>
    <row r="531" spans="3:21" x14ac:dyDescent="0.25">
      <c r="C531" s="2" t="s">
        <v>281</v>
      </c>
      <c r="D531" s="2">
        <v>4</v>
      </c>
      <c r="E531" s="2" t="s">
        <v>14</v>
      </c>
      <c r="F531" s="2" t="s">
        <v>282</v>
      </c>
      <c r="G531" s="3">
        <v>8.7200000000000006</v>
      </c>
      <c r="H531" s="3">
        <v>3.9</v>
      </c>
      <c r="I531" s="3">
        <v>15.34</v>
      </c>
      <c r="J531" s="3">
        <v>10.199999999999999</v>
      </c>
      <c r="K531" s="3">
        <v>13</v>
      </c>
      <c r="L531" s="21">
        <v>11.57</v>
      </c>
      <c r="M531" s="3">
        <v>2.68</v>
      </c>
      <c r="N531" s="2" t="s">
        <v>16</v>
      </c>
      <c r="O531" s="4" t="s">
        <v>17</v>
      </c>
      <c r="P531" s="18" t="s">
        <v>350</v>
      </c>
      <c r="Q531" s="5">
        <f t="shared" si="24"/>
        <v>12.635999999999999</v>
      </c>
      <c r="R531" s="5">
        <f t="shared" si="25"/>
        <v>10.885</v>
      </c>
      <c r="S531" s="5">
        <f t="shared" si="25"/>
        <v>7.84</v>
      </c>
      <c r="T531" s="23">
        <f>('Investor-Inputs'!$G$19 * Q531) + ('Investor-Inputs'!$J$19 * R531) + ('Investor-Inputs'!$N$19 * S531)</f>
        <v>67.518000000000001</v>
      </c>
      <c r="U531" s="27">
        <f t="shared" si="26"/>
        <v>200</v>
      </c>
    </row>
    <row r="532" spans="3:21" x14ac:dyDescent="0.25">
      <c r="C532" s="2" t="s">
        <v>283</v>
      </c>
      <c r="D532" s="2">
        <v>4</v>
      </c>
      <c r="E532" s="2" t="s">
        <v>14</v>
      </c>
      <c r="F532" s="2" t="s">
        <v>282</v>
      </c>
      <c r="G532" s="3">
        <v>13.63</v>
      </c>
      <c r="H532" s="3">
        <v>12.14</v>
      </c>
      <c r="I532" s="3">
        <v>19.8</v>
      </c>
      <c r="J532" s="3">
        <v>11.86</v>
      </c>
      <c r="K532" s="3">
        <v>17.28</v>
      </c>
      <c r="L532" s="21">
        <v>14.61</v>
      </c>
      <c r="M532" s="3">
        <v>2.87</v>
      </c>
      <c r="N532" s="2" t="s">
        <v>16</v>
      </c>
      <c r="O532" s="4" t="s">
        <v>28</v>
      </c>
      <c r="P532" s="18" t="s">
        <v>350</v>
      </c>
      <c r="Q532" s="5">
        <f t="shared" si="24"/>
        <v>16.560000000000002</v>
      </c>
      <c r="R532" s="5">
        <f t="shared" si="25"/>
        <v>13.234999999999999</v>
      </c>
      <c r="S532" s="5">
        <f t="shared" si="25"/>
        <v>10.075000000000001</v>
      </c>
      <c r="T532" s="23">
        <f>('Investor-Inputs'!$G$19 * Q532) + ('Investor-Inputs'!$J$19 * R532) + ('Investor-Inputs'!$N$19 * S532)</f>
        <v>86.225000000000009</v>
      </c>
      <c r="U532" s="27">
        <f t="shared" si="26"/>
        <v>102</v>
      </c>
    </row>
    <row r="533" spans="3:21" x14ac:dyDescent="0.25">
      <c r="C533" s="2" t="s">
        <v>284</v>
      </c>
      <c r="D533" s="2">
        <v>4</v>
      </c>
      <c r="E533" s="2" t="s">
        <v>14</v>
      </c>
      <c r="F533" s="2" t="s">
        <v>282</v>
      </c>
      <c r="G533" s="3">
        <v>3.76</v>
      </c>
      <c r="H533" s="3">
        <v>0.3</v>
      </c>
      <c r="I533" s="3">
        <v>15.1</v>
      </c>
      <c r="J533" s="3">
        <v>8.1999999999999993</v>
      </c>
      <c r="K533" s="3">
        <v>14.44</v>
      </c>
      <c r="L533" s="21">
        <v>11.85</v>
      </c>
      <c r="M533" s="3">
        <v>1.91</v>
      </c>
      <c r="N533" s="2" t="s">
        <v>16</v>
      </c>
      <c r="O533" s="4" t="s">
        <v>17</v>
      </c>
      <c r="P533" s="18" t="s">
        <v>350</v>
      </c>
      <c r="Q533" s="5">
        <f t="shared" si="24"/>
        <v>13.26</v>
      </c>
      <c r="R533" s="5">
        <f t="shared" si="25"/>
        <v>10.024999999999999</v>
      </c>
      <c r="S533" s="5">
        <f t="shared" si="25"/>
        <v>8.1749999999999989</v>
      </c>
      <c r="T533" s="23">
        <f>('Investor-Inputs'!$G$19 * Q533) + ('Investor-Inputs'!$J$19 * R533) + ('Investor-Inputs'!$N$19 * S533)</f>
        <v>68.004999999999995</v>
      </c>
      <c r="U533" s="27">
        <f t="shared" si="26"/>
        <v>196</v>
      </c>
    </row>
    <row r="534" spans="3:21" x14ac:dyDescent="0.25">
      <c r="C534" s="2" t="s">
        <v>285</v>
      </c>
      <c r="D534" s="2">
        <v>4</v>
      </c>
      <c r="E534" s="2" t="s">
        <v>14</v>
      </c>
      <c r="F534" s="2" t="s">
        <v>282</v>
      </c>
      <c r="G534" s="3">
        <v>-0.61</v>
      </c>
      <c r="H534" s="3">
        <v>-5.91</v>
      </c>
      <c r="I534" s="3">
        <v>10.73</v>
      </c>
      <c r="J534" s="3">
        <v>3.47</v>
      </c>
      <c r="K534" s="3">
        <v>12.43</v>
      </c>
      <c r="L534" s="21">
        <v>8.61</v>
      </c>
      <c r="M534" s="3">
        <v>1.74</v>
      </c>
      <c r="N534" s="2" t="s">
        <v>16</v>
      </c>
      <c r="O534" s="4" t="s">
        <v>24</v>
      </c>
      <c r="P534" s="18" t="s">
        <v>350</v>
      </c>
      <c r="Q534" s="5">
        <f t="shared" si="24"/>
        <v>10.507000000000001</v>
      </c>
      <c r="R534" s="5">
        <f t="shared" si="25"/>
        <v>6.04</v>
      </c>
      <c r="S534" s="5">
        <f t="shared" si="25"/>
        <v>7.085</v>
      </c>
      <c r="T534" s="23">
        <f>('Investor-Inputs'!$G$19 * Q534) + ('Investor-Inputs'!$J$19 * R534) + ('Investor-Inputs'!$N$19 * S534)</f>
        <v>50.686000000000007</v>
      </c>
      <c r="U534" s="27">
        <f t="shared" si="26"/>
        <v>283</v>
      </c>
    </row>
    <row r="535" spans="3:21" x14ac:dyDescent="0.25">
      <c r="C535" s="2" t="s">
        <v>286</v>
      </c>
      <c r="D535" s="2">
        <v>4</v>
      </c>
      <c r="E535" s="2" t="s">
        <v>14</v>
      </c>
      <c r="F535" s="2" t="s">
        <v>282</v>
      </c>
      <c r="G535" s="3">
        <v>-1.29</v>
      </c>
      <c r="H535" s="3">
        <v>-7.05</v>
      </c>
      <c r="I535" s="3">
        <v>10.75</v>
      </c>
      <c r="J535" s="3">
        <v>3.26</v>
      </c>
      <c r="K535" s="3">
        <v>11.27</v>
      </c>
      <c r="L535" s="21">
        <v>8.07</v>
      </c>
      <c r="M535" s="3">
        <v>2.1800000000000002</v>
      </c>
      <c r="N535" s="2" t="s">
        <v>16</v>
      </c>
      <c r="O535" s="4" t="s">
        <v>24</v>
      </c>
      <c r="P535" s="18" t="s">
        <v>350</v>
      </c>
      <c r="Q535" s="5">
        <f t="shared" si="24"/>
        <v>9.9349999999999987</v>
      </c>
      <c r="R535" s="5">
        <f t="shared" si="25"/>
        <v>5.665</v>
      </c>
      <c r="S535" s="5">
        <f t="shared" si="25"/>
        <v>6.7249999999999996</v>
      </c>
      <c r="T535" s="23">
        <f>('Investor-Inputs'!$G$19 * Q535) + ('Investor-Inputs'!$J$19 * R535) + ('Investor-Inputs'!$N$19 * S535)</f>
        <v>47.86</v>
      </c>
      <c r="U535" s="27">
        <f t="shared" si="26"/>
        <v>287</v>
      </c>
    </row>
    <row r="536" spans="3:21" x14ac:dyDescent="0.25">
      <c r="C536" s="2" t="s">
        <v>287</v>
      </c>
      <c r="D536" s="2">
        <v>4</v>
      </c>
      <c r="E536" s="2" t="s">
        <v>14</v>
      </c>
      <c r="F536" s="2" t="s">
        <v>282</v>
      </c>
      <c r="G536" s="3">
        <v>6.93</v>
      </c>
      <c r="H536" s="3">
        <v>2.4</v>
      </c>
      <c r="I536" s="3">
        <v>17.28</v>
      </c>
      <c r="J536" s="3">
        <v>9.5299999999999994</v>
      </c>
      <c r="K536" s="3">
        <v>14.53</v>
      </c>
      <c r="L536" s="21">
        <v>12.75</v>
      </c>
      <c r="M536" s="3">
        <v>5.98</v>
      </c>
      <c r="N536" s="2" t="s">
        <v>16</v>
      </c>
      <c r="O536" s="4" t="s">
        <v>17</v>
      </c>
      <c r="P536" s="18" t="s">
        <v>350</v>
      </c>
      <c r="Q536" s="5">
        <f t="shared" si="24"/>
        <v>14.177</v>
      </c>
      <c r="R536" s="5">
        <f t="shared" si="25"/>
        <v>11.14</v>
      </c>
      <c r="S536" s="5">
        <f t="shared" si="25"/>
        <v>10.254999999999999</v>
      </c>
      <c r="T536" s="23">
        <f>('Investor-Inputs'!$G$19 * Q536) + ('Investor-Inputs'!$J$19 * R536) + ('Investor-Inputs'!$N$19 * S536)</f>
        <v>75.066000000000003</v>
      </c>
      <c r="U536" s="27">
        <f t="shared" si="26"/>
        <v>160</v>
      </c>
    </row>
    <row r="537" spans="3:21" x14ac:dyDescent="0.25">
      <c r="C537" s="2" t="s">
        <v>288</v>
      </c>
      <c r="D537" s="2">
        <v>5</v>
      </c>
      <c r="E537" s="2" t="s">
        <v>14</v>
      </c>
      <c r="F537" s="2" t="s">
        <v>282</v>
      </c>
      <c r="G537" s="3">
        <v>5.07</v>
      </c>
      <c r="H537" s="3">
        <v>1.82</v>
      </c>
      <c r="I537" s="3">
        <v>17.63</v>
      </c>
      <c r="J537" s="3">
        <v>10.4</v>
      </c>
      <c r="K537" s="3">
        <v>18.260000000000002</v>
      </c>
      <c r="L537" s="21">
        <v>14.41</v>
      </c>
      <c r="M537" s="3">
        <v>2.89</v>
      </c>
      <c r="N537" s="2" t="s">
        <v>16</v>
      </c>
      <c r="O537" s="4" t="s">
        <v>28</v>
      </c>
      <c r="P537" s="18" t="s">
        <v>350</v>
      </c>
      <c r="Q537" s="5">
        <f t="shared" si="24"/>
        <v>16.182000000000002</v>
      </c>
      <c r="R537" s="5">
        <f t="shared" si="25"/>
        <v>12.405000000000001</v>
      </c>
      <c r="S537" s="5">
        <f t="shared" si="25"/>
        <v>10.575000000000001</v>
      </c>
      <c r="T537" s="23">
        <f>('Investor-Inputs'!$G$19 * Q537) + ('Investor-Inputs'!$J$19 * R537) + ('Investor-Inputs'!$N$19 * S537)</f>
        <v>83.931000000000012</v>
      </c>
      <c r="U537" s="27">
        <f t="shared" si="26"/>
        <v>112</v>
      </c>
    </row>
    <row r="538" spans="3:21" x14ac:dyDescent="0.25">
      <c r="C538" s="2" t="s">
        <v>289</v>
      </c>
      <c r="D538" s="2">
        <v>5</v>
      </c>
      <c r="E538" s="2" t="s">
        <v>14</v>
      </c>
      <c r="F538" s="2" t="s">
        <v>282</v>
      </c>
      <c r="G538" s="3">
        <v>13.41</v>
      </c>
      <c r="H538" s="3">
        <v>7.26</v>
      </c>
      <c r="I538" s="3">
        <v>20.96</v>
      </c>
      <c r="J538" s="3">
        <v>13.18</v>
      </c>
      <c r="K538" s="3">
        <v>16.27</v>
      </c>
      <c r="L538" s="21">
        <v>15.44</v>
      </c>
      <c r="M538" s="3">
        <v>2.5299999999999998</v>
      </c>
      <c r="N538" s="2" t="s">
        <v>16</v>
      </c>
      <c r="O538" s="4" t="s">
        <v>28</v>
      </c>
      <c r="P538" s="18" t="s">
        <v>350</v>
      </c>
      <c r="Q538" s="5">
        <f t="shared" si="24"/>
        <v>16.518999999999998</v>
      </c>
      <c r="R538" s="5">
        <f t="shared" si="25"/>
        <v>14.309999999999999</v>
      </c>
      <c r="S538" s="5">
        <f t="shared" si="25"/>
        <v>9.4</v>
      </c>
      <c r="T538" s="23">
        <f>('Investor-Inputs'!$G$19 * Q538) + ('Investor-Inputs'!$J$19 * R538) + ('Investor-Inputs'!$N$19 * S538)</f>
        <v>87.576999999999998</v>
      </c>
      <c r="U538" s="27">
        <f t="shared" si="26"/>
        <v>91</v>
      </c>
    </row>
    <row r="539" spans="3:21" x14ac:dyDescent="0.25">
      <c r="C539" s="2" t="s">
        <v>290</v>
      </c>
      <c r="D539" s="2">
        <v>4</v>
      </c>
      <c r="E539" s="2" t="s">
        <v>14</v>
      </c>
      <c r="F539" s="2" t="s">
        <v>282</v>
      </c>
      <c r="G539" s="3">
        <v>-0.94</v>
      </c>
      <c r="H539" s="3">
        <v>-5.67</v>
      </c>
      <c r="I539" s="3">
        <v>16.27</v>
      </c>
      <c r="J539" s="3">
        <v>4.33</v>
      </c>
      <c r="K539" s="3">
        <v>14.06</v>
      </c>
      <c r="L539" s="21">
        <v>11.02</v>
      </c>
      <c r="M539" s="3">
        <v>2.93</v>
      </c>
      <c r="N539" s="2" t="s">
        <v>16</v>
      </c>
      <c r="O539" s="4" t="s">
        <v>17</v>
      </c>
      <c r="P539" s="18" t="s">
        <v>350</v>
      </c>
      <c r="Q539" s="5">
        <f t="shared" si="24"/>
        <v>13.538</v>
      </c>
      <c r="R539" s="5">
        <f t="shared" si="25"/>
        <v>7.6749999999999998</v>
      </c>
      <c r="S539" s="5">
        <f t="shared" si="25"/>
        <v>8.495000000000001</v>
      </c>
      <c r="T539" s="23">
        <f>('Investor-Inputs'!$G$19 * Q539) + ('Investor-Inputs'!$J$19 * R539) + ('Investor-Inputs'!$N$19 * S539)</f>
        <v>64.459000000000003</v>
      </c>
      <c r="U539" s="27">
        <f t="shared" si="26"/>
        <v>210</v>
      </c>
    </row>
    <row r="540" spans="3:21" x14ac:dyDescent="0.25">
      <c r="C540" s="2" t="s">
        <v>291</v>
      </c>
      <c r="D540" s="2">
        <v>4</v>
      </c>
      <c r="E540" s="2" t="s">
        <v>14</v>
      </c>
      <c r="F540" s="2" t="s">
        <v>282</v>
      </c>
      <c r="G540" s="3">
        <v>7.84</v>
      </c>
      <c r="H540" s="3">
        <v>3.41</v>
      </c>
      <c r="I540" s="3">
        <v>14.43</v>
      </c>
      <c r="J540" s="3">
        <v>8.92</v>
      </c>
      <c r="K540" s="3">
        <v>13.09</v>
      </c>
      <c r="L540" s="21">
        <v>11.29</v>
      </c>
      <c r="M540" s="3">
        <v>1.8</v>
      </c>
      <c r="N540" s="2" t="s">
        <v>16</v>
      </c>
      <c r="O540" s="4" t="s">
        <v>17</v>
      </c>
      <c r="P540" s="18" t="s">
        <v>350</v>
      </c>
      <c r="Q540" s="5">
        <f t="shared" si="24"/>
        <v>12.317</v>
      </c>
      <c r="R540" s="5">
        <f t="shared" si="25"/>
        <v>10.105</v>
      </c>
      <c r="S540" s="5">
        <f t="shared" si="25"/>
        <v>7.4450000000000003</v>
      </c>
      <c r="T540" s="23">
        <f>('Investor-Inputs'!$G$19 * Q540) + ('Investor-Inputs'!$J$19 * R540) + ('Investor-Inputs'!$N$19 * S540)</f>
        <v>64.605999999999995</v>
      </c>
      <c r="U540" s="27">
        <f t="shared" si="26"/>
        <v>206</v>
      </c>
    </row>
    <row r="541" spans="3:21" x14ac:dyDescent="0.25">
      <c r="C541" s="2" t="s">
        <v>292</v>
      </c>
      <c r="D541" s="2">
        <v>4</v>
      </c>
      <c r="E541" s="2" t="s">
        <v>14</v>
      </c>
      <c r="F541" s="2" t="s">
        <v>282</v>
      </c>
      <c r="G541" s="3">
        <v>1.07</v>
      </c>
      <c r="H541" s="3">
        <v>-4.09</v>
      </c>
      <c r="I541" s="3">
        <v>14.7</v>
      </c>
      <c r="J541" s="3">
        <v>6.89</v>
      </c>
      <c r="K541" s="3">
        <v>13.47</v>
      </c>
      <c r="L541" s="21">
        <v>10.63</v>
      </c>
      <c r="M541" s="3">
        <v>1.98</v>
      </c>
      <c r="N541" s="2" t="s">
        <v>16</v>
      </c>
      <c r="O541" s="4" t="s">
        <v>17</v>
      </c>
      <c r="P541" s="18" t="s">
        <v>350</v>
      </c>
      <c r="Q541" s="5">
        <f t="shared" si="24"/>
        <v>12.615</v>
      </c>
      <c r="R541" s="5">
        <f t="shared" si="25"/>
        <v>8.76</v>
      </c>
      <c r="S541" s="5">
        <f t="shared" si="25"/>
        <v>7.7250000000000005</v>
      </c>
      <c r="T541" s="23">
        <f>('Investor-Inputs'!$G$19 * Q541) + ('Investor-Inputs'!$J$19 * R541) + ('Investor-Inputs'!$N$19 * S541)</f>
        <v>63.089999999999996</v>
      </c>
      <c r="U541" s="27">
        <f t="shared" si="26"/>
        <v>220</v>
      </c>
    </row>
    <row r="542" spans="3:21" x14ac:dyDescent="0.25">
      <c r="C542" s="2" t="s">
        <v>293</v>
      </c>
      <c r="D542" s="2">
        <v>4</v>
      </c>
      <c r="E542" s="2" t="s">
        <v>14</v>
      </c>
      <c r="F542" s="2" t="s">
        <v>282</v>
      </c>
      <c r="G542" s="3">
        <v>3.73</v>
      </c>
      <c r="H542" s="3">
        <v>-0.12</v>
      </c>
      <c r="I542" s="3">
        <v>13.47</v>
      </c>
      <c r="J542" s="3">
        <v>7.07</v>
      </c>
      <c r="K542" s="3">
        <v>12.81</v>
      </c>
      <c r="L542" s="21">
        <v>10.54</v>
      </c>
      <c r="M542" s="3">
        <v>1.91</v>
      </c>
      <c r="N542" s="2" t="s">
        <v>16</v>
      </c>
      <c r="O542" s="4" t="s">
        <v>17</v>
      </c>
      <c r="P542" s="18" t="s">
        <v>350</v>
      </c>
      <c r="Q542" s="5">
        <f t="shared" si="24"/>
        <v>11.793000000000001</v>
      </c>
      <c r="R542" s="5">
        <f t="shared" si="25"/>
        <v>8.8049999999999997</v>
      </c>
      <c r="S542" s="5">
        <f t="shared" si="25"/>
        <v>7.36</v>
      </c>
      <c r="T542" s="23">
        <f>('Investor-Inputs'!$G$19 * Q542) + ('Investor-Inputs'!$J$19 * R542) + ('Investor-Inputs'!$N$19 * S542)</f>
        <v>60.349000000000004</v>
      </c>
      <c r="U542" s="27">
        <f t="shared" si="26"/>
        <v>240</v>
      </c>
    </row>
    <row r="543" spans="3:21" x14ac:dyDescent="0.25">
      <c r="C543" s="2" t="s">
        <v>294</v>
      </c>
      <c r="D543" s="2">
        <v>5</v>
      </c>
      <c r="E543" s="2" t="s">
        <v>14</v>
      </c>
      <c r="F543" s="2" t="s">
        <v>282</v>
      </c>
      <c r="G543" s="3">
        <v>18.52</v>
      </c>
      <c r="H543" s="3">
        <v>16.559999999999999</v>
      </c>
      <c r="I543" s="3">
        <v>23.85</v>
      </c>
      <c r="J543" s="3">
        <v>17.39</v>
      </c>
      <c r="K543" s="3">
        <v>25.57</v>
      </c>
      <c r="L543" s="21">
        <v>19.600000000000001</v>
      </c>
      <c r="M543" s="3">
        <v>3.22</v>
      </c>
      <c r="N543" s="2" t="s">
        <v>16</v>
      </c>
      <c r="O543" s="4" t="s">
        <v>28</v>
      </c>
      <c r="P543" s="18" t="s">
        <v>350</v>
      </c>
      <c r="Q543" s="5">
        <f t="shared" si="24"/>
        <v>22.325000000000003</v>
      </c>
      <c r="R543" s="5">
        <f t="shared" si="25"/>
        <v>18.495000000000001</v>
      </c>
      <c r="S543" s="5">
        <f t="shared" si="25"/>
        <v>14.395</v>
      </c>
      <c r="T543" s="23">
        <f>('Investor-Inputs'!$G$19 * Q543) + ('Investor-Inputs'!$J$19 * R543) + ('Investor-Inputs'!$N$19 * S543)</f>
        <v>118.36</v>
      </c>
      <c r="U543" s="27">
        <f t="shared" si="26"/>
        <v>17</v>
      </c>
    </row>
    <row r="544" spans="3:21" x14ac:dyDescent="0.25">
      <c r="C544" s="2" t="s">
        <v>295</v>
      </c>
      <c r="D544" s="2">
        <v>4</v>
      </c>
      <c r="E544" s="2" t="s">
        <v>14</v>
      </c>
      <c r="F544" s="2" t="s">
        <v>282</v>
      </c>
      <c r="G544" s="3">
        <v>6.46</v>
      </c>
      <c r="H544" s="3">
        <v>4.26</v>
      </c>
      <c r="I544" s="3">
        <v>14.29</v>
      </c>
      <c r="J544" s="3">
        <v>10.130000000000001</v>
      </c>
      <c r="K544" s="3">
        <v>12.04</v>
      </c>
      <c r="L544" s="21">
        <v>10.99</v>
      </c>
      <c r="M544" s="3">
        <v>1.31</v>
      </c>
      <c r="N544" s="2" t="s">
        <v>16</v>
      </c>
      <c r="O544" s="4" t="s">
        <v>24</v>
      </c>
      <c r="P544" s="18" t="s">
        <v>350</v>
      </c>
      <c r="Q544" s="5">
        <f t="shared" si="24"/>
        <v>11.736000000000001</v>
      </c>
      <c r="R544" s="5">
        <f t="shared" si="25"/>
        <v>10.56</v>
      </c>
      <c r="S544" s="5">
        <f t="shared" si="25"/>
        <v>6.6749999999999998</v>
      </c>
      <c r="T544" s="23">
        <f>('Investor-Inputs'!$G$19 * Q544) + ('Investor-Inputs'!$J$19 * R544) + ('Investor-Inputs'!$N$19 * S544)</f>
        <v>63.003</v>
      </c>
      <c r="U544" s="27">
        <f t="shared" si="26"/>
        <v>222</v>
      </c>
    </row>
    <row r="545" spans="3:21" x14ac:dyDescent="0.25">
      <c r="C545" s="2" t="s">
        <v>296</v>
      </c>
      <c r="D545" s="2">
        <v>5</v>
      </c>
      <c r="E545" s="2" t="s">
        <v>14</v>
      </c>
      <c r="F545" s="2" t="s">
        <v>282</v>
      </c>
      <c r="G545" s="3">
        <v>1.95</v>
      </c>
      <c r="H545" s="3">
        <v>-2</v>
      </c>
      <c r="I545" s="3">
        <v>14.14</v>
      </c>
      <c r="J545" s="3">
        <v>6.97</v>
      </c>
      <c r="K545" s="3">
        <v>13.8</v>
      </c>
      <c r="L545" s="21">
        <v>10.91</v>
      </c>
      <c r="M545" s="3">
        <v>1.85</v>
      </c>
      <c r="N545" s="2" t="s">
        <v>16</v>
      </c>
      <c r="O545" s="4" t="s">
        <v>17</v>
      </c>
      <c r="P545" s="18" t="s">
        <v>350</v>
      </c>
      <c r="Q545" s="5">
        <f t="shared" si="24"/>
        <v>12.556000000000001</v>
      </c>
      <c r="R545" s="5">
        <f t="shared" si="25"/>
        <v>8.94</v>
      </c>
      <c r="S545" s="5">
        <f t="shared" si="25"/>
        <v>7.8250000000000002</v>
      </c>
      <c r="T545" s="23">
        <f>('Investor-Inputs'!$G$19 * Q545) + ('Investor-Inputs'!$J$19 * R545) + ('Investor-Inputs'!$N$19 * S545)</f>
        <v>63.373000000000005</v>
      </c>
      <c r="U545" s="27">
        <f t="shared" si="26"/>
        <v>218</v>
      </c>
    </row>
    <row r="546" spans="3:21" x14ac:dyDescent="0.25">
      <c r="C546" s="2" t="s">
        <v>297</v>
      </c>
      <c r="D546" s="2">
        <v>4</v>
      </c>
      <c r="E546" s="2" t="s">
        <v>14</v>
      </c>
      <c r="F546" s="2" t="s">
        <v>298</v>
      </c>
      <c r="G546" s="3">
        <v>4.6500000000000004</v>
      </c>
      <c r="H546" s="3">
        <v>2.83</v>
      </c>
      <c r="I546" s="3">
        <v>8.58</v>
      </c>
      <c r="J546" s="3">
        <v>6.85</v>
      </c>
      <c r="K546" s="3">
        <v>8.1300000000000008</v>
      </c>
      <c r="L546" s="21">
        <v>7.51</v>
      </c>
      <c r="M546" s="3">
        <v>1.8</v>
      </c>
      <c r="N546" s="2" t="s">
        <v>242</v>
      </c>
      <c r="O546" s="4" t="s">
        <v>24</v>
      </c>
      <c r="P546" s="18" t="s">
        <v>350</v>
      </c>
      <c r="Q546" s="5">
        <f t="shared" si="24"/>
        <v>7.4970000000000008</v>
      </c>
      <c r="R546" s="5">
        <f t="shared" si="25"/>
        <v>7.18</v>
      </c>
      <c r="S546" s="5">
        <f t="shared" si="25"/>
        <v>4.9650000000000007</v>
      </c>
      <c r="T546" s="23">
        <f>('Investor-Inputs'!$G$19 * Q546) + ('Investor-Inputs'!$J$19 * R546) + ('Investor-Inputs'!$N$19 * S546)</f>
        <v>41.816000000000003</v>
      </c>
      <c r="U546" s="27">
        <f t="shared" si="26"/>
        <v>307</v>
      </c>
    </row>
    <row r="547" spans="3:21" x14ac:dyDescent="0.25">
      <c r="C547" s="2" t="s">
        <v>299</v>
      </c>
      <c r="D547" s="2">
        <v>4</v>
      </c>
      <c r="E547" s="2" t="s">
        <v>14</v>
      </c>
      <c r="F547" s="2" t="s">
        <v>298</v>
      </c>
      <c r="G547" s="3">
        <v>4.5199999999999996</v>
      </c>
      <c r="H547" s="3">
        <v>3.33</v>
      </c>
      <c r="I547" s="3">
        <v>7.04</v>
      </c>
      <c r="J547" s="3">
        <v>4.96</v>
      </c>
      <c r="K547" s="3">
        <v>10.19</v>
      </c>
      <c r="L547" s="21">
        <v>7.39</v>
      </c>
      <c r="M547" s="3">
        <v>2.19</v>
      </c>
      <c r="N547" s="2" t="s">
        <v>242</v>
      </c>
      <c r="O547" s="4" t="s">
        <v>28</v>
      </c>
      <c r="P547" s="18" t="s">
        <v>350</v>
      </c>
      <c r="Q547" s="5">
        <f t="shared" si="24"/>
        <v>7.9109999999999996</v>
      </c>
      <c r="R547" s="5">
        <f t="shared" si="25"/>
        <v>6.1749999999999998</v>
      </c>
      <c r="S547" s="5">
        <f t="shared" si="25"/>
        <v>6.1899999999999995</v>
      </c>
      <c r="T547" s="23">
        <f>('Investor-Inputs'!$G$19 * Q547) + ('Investor-Inputs'!$J$19 * R547) + ('Investor-Inputs'!$N$19 * S547)</f>
        <v>42.272999999999996</v>
      </c>
      <c r="U547" s="27">
        <f t="shared" si="26"/>
        <v>301</v>
      </c>
    </row>
    <row r="548" spans="3:21" x14ac:dyDescent="0.25">
      <c r="C548" s="2" t="s">
        <v>300</v>
      </c>
      <c r="D548" s="2">
        <v>4</v>
      </c>
      <c r="E548" s="2" t="s">
        <v>14</v>
      </c>
      <c r="F548" s="2" t="s">
        <v>298</v>
      </c>
      <c r="G548" s="3">
        <v>2.98</v>
      </c>
      <c r="H548" s="3">
        <v>2.0499999999999998</v>
      </c>
      <c r="I548" s="3">
        <v>9.1300000000000008</v>
      </c>
      <c r="J548" s="3">
        <v>6.65</v>
      </c>
      <c r="K548" s="3">
        <v>7.52</v>
      </c>
      <c r="L548" s="21">
        <v>7.5</v>
      </c>
      <c r="M548" s="3">
        <v>1.64</v>
      </c>
      <c r="N548" s="2" t="s">
        <v>242</v>
      </c>
      <c r="O548" s="4" t="s">
        <v>24</v>
      </c>
      <c r="P548" s="18" t="s">
        <v>350</v>
      </c>
      <c r="Q548" s="5">
        <f t="shared" si="24"/>
        <v>7.4120000000000008</v>
      </c>
      <c r="R548" s="5">
        <f t="shared" si="25"/>
        <v>7.0750000000000002</v>
      </c>
      <c r="S548" s="5">
        <f t="shared" si="25"/>
        <v>4.58</v>
      </c>
      <c r="T548" s="23">
        <f>('Investor-Inputs'!$G$19 * Q548) + ('Investor-Inputs'!$J$19 * R548) + ('Investor-Inputs'!$N$19 * S548)</f>
        <v>40.966000000000001</v>
      </c>
      <c r="U548" s="27">
        <f t="shared" si="26"/>
        <v>313</v>
      </c>
    </row>
    <row r="549" spans="3:21" x14ac:dyDescent="0.25">
      <c r="C549" s="2" t="s">
        <v>301</v>
      </c>
      <c r="D549" s="2">
        <v>4</v>
      </c>
      <c r="E549" s="2" t="s">
        <v>14</v>
      </c>
      <c r="F549" s="2" t="s">
        <v>298</v>
      </c>
      <c r="G549" s="3">
        <v>0.83</v>
      </c>
      <c r="H549" s="3">
        <v>-0.06</v>
      </c>
      <c r="I549" s="3">
        <v>8.41</v>
      </c>
      <c r="J549" s="3">
        <v>5.12</v>
      </c>
      <c r="K549" s="3">
        <v>8.7100000000000009</v>
      </c>
      <c r="L549" s="21">
        <v>7.24</v>
      </c>
      <c r="M549" s="3">
        <v>1.73</v>
      </c>
      <c r="N549" s="2" t="s">
        <v>242</v>
      </c>
      <c r="O549" s="4" t="s">
        <v>17</v>
      </c>
      <c r="P549" s="18" t="s">
        <v>350</v>
      </c>
      <c r="Q549" s="5">
        <f t="shared" si="24"/>
        <v>7.7190000000000012</v>
      </c>
      <c r="R549" s="5">
        <f t="shared" si="25"/>
        <v>6.18</v>
      </c>
      <c r="S549" s="5">
        <f t="shared" si="25"/>
        <v>5.2200000000000006</v>
      </c>
      <c r="T549" s="23">
        <f>('Investor-Inputs'!$G$19 * Q549) + ('Investor-Inputs'!$J$19 * R549) + ('Investor-Inputs'!$N$19 * S549)</f>
        <v>40.737000000000002</v>
      </c>
      <c r="U549" s="27">
        <f t="shared" si="26"/>
        <v>317</v>
      </c>
    </row>
    <row r="550" spans="3:21" x14ac:dyDescent="0.25">
      <c r="C550" s="2" t="s">
        <v>302</v>
      </c>
      <c r="D550" s="2">
        <v>5</v>
      </c>
      <c r="E550" s="2" t="s">
        <v>14</v>
      </c>
      <c r="F550" s="2" t="s">
        <v>298</v>
      </c>
      <c r="G550" s="3">
        <v>4.6100000000000003</v>
      </c>
      <c r="H550" s="3">
        <v>2.54</v>
      </c>
      <c r="I550" s="3">
        <v>9.4600000000000009</v>
      </c>
      <c r="J550" s="3">
        <v>7.05</v>
      </c>
      <c r="K550" s="3">
        <v>8.56</v>
      </c>
      <c r="L550" s="21">
        <v>8.0500000000000007</v>
      </c>
      <c r="M550" s="3">
        <v>1.78</v>
      </c>
      <c r="N550" s="2" t="s">
        <v>28</v>
      </c>
      <c r="O550" s="4" t="s">
        <v>17</v>
      </c>
      <c r="P550" s="18" t="s">
        <v>350</v>
      </c>
      <c r="Q550" s="5">
        <f t="shared" si="24"/>
        <v>8.0640000000000001</v>
      </c>
      <c r="R550" s="5">
        <f t="shared" si="25"/>
        <v>7.5500000000000007</v>
      </c>
      <c r="S550" s="5">
        <f t="shared" si="25"/>
        <v>5.17</v>
      </c>
      <c r="T550" s="23">
        <f>('Investor-Inputs'!$G$19 * Q550) + ('Investor-Inputs'!$J$19 * R550) + ('Investor-Inputs'!$N$19 * S550)</f>
        <v>44.462000000000003</v>
      </c>
      <c r="U550" s="27">
        <f t="shared" si="26"/>
        <v>297</v>
      </c>
    </row>
    <row r="551" spans="3:21" x14ac:dyDescent="0.25">
      <c r="C551" s="2" t="s">
        <v>303</v>
      </c>
      <c r="D551" s="2">
        <v>4</v>
      </c>
      <c r="E551" s="2" t="s">
        <v>14</v>
      </c>
      <c r="F551" s="2" t="s">
        <v>298</v>
      </c>
      <c r="G551" s="3">
        <v>6.66</v>
      </c>
      <c r="H551" s="3">
        <v>3.78</v>
      </c>
      <c r="I551" s="3">
        <v>10.65</v>
      </c>
      <c r="J551" s="3">
        <v>7.52</v>
      </c>
      <c r="K551" s="3">
        <v>8.02</v>
      </c>
      <c r="L551" s="21">
        <v>8.35</v>
      </c>
      <c r="M551" s="3">
        <v>2.54</v>
      </c>
      <c r="N551" s="2" t="s">
        <v>28</v>
      </c>
      <c r="O551" s="4" t="s">
        <v>17</v>
      </c>
      <c r="P551" s="18" t="s">
        <v>350</v>
      </c>
      <c r="Q551" s="5">
        <f t="shared" si="24"/>
        <v>8.27</v>
      </c>
      <c r="R551" s="5">
        <f t="shared" si="25"/>
        <v>7.9349999999999996</v>
      </c>
      <c r="S551" s="5">
        <f t="shared" si="25"/>
        <v>5.2799999999999994</v>
      </c>
      <c r="T551" s="23">
        <f>('Investor-Inputs'!$G$19 * Q551) + ('Investor-Inputs'!$J$19 * R551) + ('Investor-Inputs'!$N$19 * S551)</f>
        <v>45.96</v>
      </c>
      <c r="U551" s="27">
        <f t="shared" si="26"/>
        <v>291</v>
      </c>
    </row>
    <row r="552" spans="3:21" x14ac:dyDescent="0.25">
      <c r="C552" s="2" t="s">
        <v>304</v>
      </c>
      <c r="D552" s="2">
        <v>5</v>
      </c>
      <c r="E552" s="2" t="s">
        <v>14</v>
      </c>
      <c r="F552" s="2" t="s">
        <v>298</v>
      </c>
      <c r="G552" s="3">
        <v>6.85</v>
      </c>
      <c r="H552" s="3">
        <v>5.35</v>
      </c>
      <c r="I552" s="3">
        <v>8.1199999999999992</v>
      </c>
      <c r="J552" s="3">
        <v>7.51</v>
      </c>
      <c r="K552" s="3">
        <v>8</v>
      </c>
      <c r="L552" s="21">
        <v>7.83</v>
      </c>
      <c r="M552" s="3">
        <v>1.8</v>
      </c>
      <c r="N552" s="2" t="s">
        <v>28</v>
      </c>
      <c r="O552" s="4" t="s">
        <v>24</v>
      </c>
      <c r="P552" s="18" t="s">
        <v>350</v>
      </c>
      <c r="Q552" s="5">
        <f t="shared" si="24"/>
        <v>7.2479999999999993</v>
      </c>
      <c r="R552" s="5">
        <f t="shared" si="25"/>
        <v>7.67</v>
      </c>
      <c r="S552" s="5">
        <f t="shared" si="25"/>
        <v>4.9000000000000004</v>
      </c>
      <c r="T552" s="23">
        <f>('Investor-Inputs'!$G$19 * Q552) + ('Investor-Inputs'!$J$19 * R552) + ('Investor-Inputs'!$N$19 * S552)</f>
        <v>41.984000000000002</v>
      </c>
      <c r="U552" s="27">
        <f t="shared" si="26"/>
        <v>305</v>
      </c>
    </row>
    <row r="553" spans="3:21" x14ac:dyDescent="0.25">
      <c r="C553" s="2" t="s">
        <v>305</v>
      </c>
      <c r="D553" s="2">
        <v>5</v>
      </c>
      <c r="E553" s="2" t="s">
        <v>14</v>
      </c>
      <c r="F553" s="2" t="s">
        <v>298</v>
      </c>
      <c r="G553" s="3">
        <v>4.8</v>
      </c>
      <c r="H553" s="3">
        <v>4.03</v>
      </c>
      <c r="I553" s="3">
        <v>10.36</v>
      </c>
      <c r="J553" s="3">
        <v>8.0299999999999994</v>
      </c>
      <c r="K553" s="2"/>
      <c r="L553" s="20"/>
      <c r="M553" s="3">
        <v>0.62</v>
      </c>
      <c r="N553" s="2" t="s">
        <v>242</v>
      </c>
      <c r="O553" s="4" t="s">
        <v>28</v>
      </c>
      <c r="P553" s="18" t="s">
        <v>350</v>
      </c>
      <c r="Q553" s="5">
        <f t="shared" si="24"/>
        <v>4.1440000000000001</v>
      </c>
      <c r="R553" s="5">
        <f t="shared" si="25"/>
        <v>4.0149999999999997</v>
      </c>
      <c r="S553" s="5">
        <f t="shared" si="25"/>
        <v>0.31</v>
      </c>
      <c r="T553" s="23">
        <f>('Investor-Inputs'!$G$19 * Q553) + ('Investor-Inputs'!$J$19 * R553) + ('Investor-Inputs'!$N$19 * S553)</f>
        <v>20.771999999999998</v>
      </c>
      <c r="U553" s="27">
        <f t="shared" si="26"/>
        <v>575</v>
      </c>
    </row>
    <row r="554" spans="3:21" x14ac:dyDescent="0.25">
      <c r="C554" s="2" t="s">
        <v>306</v>
      </c>
      <c r="D554" s="2">
        <v>5</v>
      </c>
      <c r="E554" s="2" t="s">
        <v>14</v>
      </c>
      <c r="F554" s="2" t="s">
        <v>298</v>
      </c>
      <c r="G554" s="3">
        <v>4.71</v>
      </c>
      <c r="H554" s="3">
        <v>5.18</v>
      </c>
      <c r="I554" s="3">
        <v>11.87</v>
      </c>
      <c r="J554" s="3">
        <v>8.4</v>
      </c>
      <c r="K554" s="3">
        <v>11.2</v>
      </c>
      <c r="L554" s="21">
        <v>9.86</v>
      </c>
      <c r="M554" s="3">
        <v>1.25</v>
      </c>
      <c r="N554" s="2" t="s">
        <v>242</v>
      </c>
      <c r="O554" s="4" t="s">
        <v>28</v>
      </c>
      <c r="P554" s="18" t="s">
        <v>350</v>
      </c>
      <c r="Q554" s="5">
        <f t="shared" si="24"/>
        <v>10.347999999999999</v>
      </c>
      <c r="R554" s="5">
        <f t="shared" si="25"/>
        <v>9.129999999999999</v>
      </c>
      <c r="S554" s="5">
        <f t="shared" si="25"/>
        <v>6.2249999999999996</v>
      </c>
      <c r="T554" s="23">
        <f>('Investor-Inputs'!$G$19 * Q554) + ('Investor-Inputs'!$J$19 * R554) + ('Investor-Inputs'!$N$19 * S554)</f>
        <v>55.528999999999996</v>
      </c>
      <c r="U554" s="27">
        <f t="shared" si="26"/>
        <v>264</v>
      </c>
    </row>
    <row r="555" spans="3:21" x14ac:dyDescent="0.25">
      <c r="C555" s="2" t="s">
        <v>307</v>
      </c>
      <c r="D555" s="2">
        <v>4</v>
      </c>
      <c r="E555" s="2" t="s">
        <v>14</v>
      </c>
      <c r="F555" s="2" t="s">
        <v>298</v>
      </c>
      <c r="G555" s="3">
        <v>5.17</v>
      </c>
      <c r="H555" s="3">
        <v>3.87</v>
      </c>
      <c r="I555" s="3">
        <v>9.31</v>
      </c>
      <c r="J555" s="3">
        <v>6.91</v>
      </c>
      <c r="K555" s="3">
        <v>9.06</v>
      </c>
      <c r="L555" s="21">
        <v>8.14</v>
      </c>
      <c r="M555" s="3">
        <v>1.5</v>
      </c>
      <c r="N555" s="2" t="s">
        <v>28</v>
      </c>
      <c r="O555" s="4" t="s">
        <v>28</v>
      </c>
      <c r="P555" s="18" t="s">
        <v>350</v>
      </c>
      <c r="Q555" s="5">
        <f t="shared" si="24"/>
        <v>8.2540000000000013</v>
      </c>
      <c r="R555" s="5">
        <f t="shared" si="25"/>
        <v>7.5250000000000004</v>
      </c>
      <c r="S555" s="5">
        <f t="shared" si="25"/>
        <v>5.28</v>
      </c>
      <c r="T555" s="23">
        <f>('Investor-Inputs'!$G$19 * Q555) + ('Investor-Inputs'!$J$19 * R555) + ('Investor-Inputs'!$N$19 * S555)</f>
        <v>45.092000000000006</v>
      </c>
      <c r="U555" s="27">
        <f t="shared" si="26"/>
        <v>295</v>
      </c>
    </row>
    <row r="556" spans="3:21" x14ac:dyDescent="0.25">
      <c r="C556" s="2" t="s">
        <v>308</v>
      </c>
      <c r="D556" s="2">
        <v>4</v>
      </c>
      <c r="E556" s="2" t="s">
        <v>14</v>
      </c>
      <c r="F556" s="2" t="s">
        <v>309</v>
      </c>
      <c r="G556" s="3">
        <v>1.98</v>
      </c>
      <c r="H556" s="3">
        <v>0.84</v>
      </c>
      <c r="I556" s="3">
        <v>9.2799999999999994</v>
      </c>
      <c r="J556" s="3">
        <v>6.13</v>
      </c>
      <c r="K556" s="3">
        <v>8.23</v>
      </c>
      <c r="L556" s="21">
        <v>7.43</v>
      </c>
      <c r="M556" s="3">
        <v>1.94</v>
      </c>
      <c r="N556" s="2" t="s">
        <v>171</v>
      </c>
      <c r="O556" s="4" t="s">
        <v>24</v>
      </c>
      <c r="P556" s="18" t="s">
        <v>350</v>
      </c>
      <c r="Q556" s="5">
        <f t="shared" si="24"/>
        <v>7.827</v>
      </c>
      <c r="R556" s="5">
        <f t="shared" si="25"/>
        <v>6.7799999999999994</v>
      </c>
      <c r="S556" s="5">
        <f t="shared" si="25"/>
        <v>5.085</v>
      </c>
      <c r="T556" s="23">
        <f>('Investor-Inputs'!$G$19 * Q556) + ('Investor-Inputs'!$J$19 * R556) + ('Investor-Inputs'!$N$19 * S556)</f>
        <v>42.125999999999998</v>
      </c>
      <c r="U556" s="27">
        <f t="shared" si="26"/>
        <v>303</v>
      </c>
    </row>
    <row r="557" spans="3:21" x14ac:dyDescent="0.25">
      <c r="C557" s="2" t="s">
        <v>310</v>
      </c>
      <c r="D557" s="2">
        <v>5</v>
      </c>
      <c r="E557" s="2" t="s">
        <v>14</v>
      </c>
      <c r="F557" s="2" t="s">
        <v>309</v>
      </c>
      <c r="G557" s="3">
        <v>7.32</v>
      </c>
      <c r="H557" s="3">
        <v>5.76</v>
      </c>
      <c r="I557" s="3">
        <v>11</v>
      </c>
      <c r="J557" s="3">
        <v>8.67</v>
      </c>
      <c r="K557" s="3">
        <v>9.34</v>
      </c>
      <c r="L557" s="21">
        <v>9.18</v>
      </c>
      <c r="M557" s="3">
        <v>2.1</v>
      </c>
      <c r="N557" s="2" t="s">
        <v>171</v>
      </c>
      <c r="O557" s="4" t="s">
        <v>17</v>
      </c>
      <c r="P557" s="18" t="s">
        <v>350</v>
      </c>
      <c r="Q557" s="5">
        <f t="shared" si="24"/>
        <v>9.07</v>
      </c>
      <c r="R557" s="5">
        <f t="shared" si="25"/>
        <v>8.9250000000000007</v>
      </c>
      <c r="S557" s="5">
        <f t="shared" si="25"/>
        <v>5.72</v>
      </c>
      <c r="T557" s="23">
        <f>('Investor-Inputs'!$G$19 * Q557) + ('Investor-Inputs'!$J$19 * R557) + ('Investor-Inputs'!$N$19 * S557)</f>
        <v>50.78</v>
      </c>
      <c r="U557" s="27">
        <f t="shared" si="26"/>
        <v>279</v>
      </c>
    </row>
    <row r="558" spans="3:21" x14ac:dyDescent="0.25">
      <c r="C558" s="2" t="s">
        <v>311</v>
      </c>
      <c r="D558" s="2">
        <v>4</v>
      </c>
      <c r="E558" s="2" t="s">
        <v>14</v>
      </c>
      <c r="F558" s="2" t="s">
        <v>309</v>
      </c>
      <c r="G558" s="3">
        <v>12.29</v>
      </c>
      <c r="H558" s="3">
        <v>10.69</v>
      </c>
      <c r="I558" s="3">
        <v>13.62</v>
      </c>
      <c r="J558" s="3">
        <v>10.62</v>
      </c>
      <c r="K558" s="3">
        <v>11.46</v>
      </c>
      <c r="L558" s="21">
        <v>11.25</v>
      </c>
      <c r="M558" s="3">
        <v>5.53</v>
      </c>
      <c r="N558" s="2" t="s">
        <v>242</v>
      </c>
      <c r="O558" s="4" t="s">
        <v>28</v>
      </c>
      <c r="P558" s="18" t="s">
        <v>350</v>
      </c>
      <c r="Q558" s="5">
        <f t="shared" si="24"/>
        <v>11.178000000000001</v>
      </c>
      <c r="R558" s="5">
        <f t="shared" si="25"/>
        <v>10.934999999999999</v>
      </c>
      <c r="S558" s="5">
        <f t="shared" si="25"/>
        <v>8.495000000000001</v>
      </c>
      <c r="T558" s="23">
        <f>('Investor-Inputs'!$G$19 * Q558) + ('Investor-Inputs'!$J$19 * R558) + ('Investor-Inputs'!$N$19 * S558)</f>
        <v>63.899000000000001</v>
      </c>
      <c r="U558" s="27">
        <f t="shared" si="26"/>
        <v>216</v>
      </c>
    </row>
    <row r="559" spans="3:21" x14ac:dyDescent="0.25">
      <c r="C559" s="2" t="s">
        <v>312</v>
      </c>
      <c r="D559" s="2">
        <v>5</v>
      </c>
      <c r="E559" s="2" t="s">
        <v>14</v>
      </c>
      <c r="F559" s="2" t="s">
        <v>309</v>
      </c>
      <c r="G559" s="3">
        <v>3.8</v>
      </c>
      <c r="H559" s="3">
        <v>1.42</v>
      </c>
      <c r="I559" s="3">
        <v>7.8</v>
      </c>
      <c r="J559" s="3">
        <v>5.72</v>
      </c>
      <c r="K559" s="3">
        <v>7.48</v>
      </c>
      <c r="L559" s="21">
        <v>6.84</v>
      </c>
      <c r="M559" s="3">
        <v>5.28</v>
      </c>
      <c r="N559" s="2" t="s">
        <v>171</v>
      </c>
      <c r="O559" s="4" t="s">
        <v>110</v>
      </c>
      <c r="P559" s="18" t="s">
        <v>350</v>
      </c>
      <c r="Q559" s="5">
        <f t="shared" si="24"/>
        <v>6.86</v>
      </c>
      <c r="R559" s="5">
        <f t="shared" si="25"/>
        <v>6.2799999999999994</v>
      </c>
      <c r="S559" s="5">
        <f t="shared" si="25"/>
        <v>6.3800000000000008</v>
      </c>
      <c r="T559" s="23">
        <f>('Investor-Inputs'!$G$19 * Q559) + ('Investor-Inputs'!$J$19 * R559) + ('Investor-Inputs'!$N$19 * S559)</f>
        <v>39.520000000000003</v>
      </c>
      <c r="U559" s="27">
        <f t="shared" si="26"/>
        <v>327</v>
      </c>
    </row>
    <row r="560" spans="3:21" x14ac:dyDescent="0.25">
      <c r="C560" s="2" t="s">
        <v>313</v>
      </c>
      <c r="D560" s="2">
        <v>4</v>
      </c>
      <c r="E560" s="2" t="s">
        <v>14</v>
      </c>
      <c r="F560" s="2" t="s">
        <v>309</v>
      </c>
      <c r="G560" s="3">
        <v>6.5</v>
      </c>
      <c r="H560" s="3">
        <v>4.74</v>
      </c>
      <c r="I560" s="3">
        <v>10.74</v>
      </c>
      <c r="J560" s="3">
        <v>7.65</v>
      </c>
      <c r="K560" s="3">
        <v>10.039999999999999</v>
      </c>
      <c r="L560" s="21">
        <v>9.17</v>
      </c>
      <c r="M560" s="3">
        <v>1.8</v>
      </c>
      <c r="N560" s="2" t="s">
        <v>242</v>
      </c>
      <c r="O560" s="4" t="s">
        <v>28</v>
      </c>
      <c r="P560" s="18" t="s">
        <v>350</v>
      </c>
      <c r="Q560" s="5">
        <f t="shared" si="24"/>
        <v>9.3159999999999989</v>
      </c>
      <c r="R560" s="5">
        <f t="shared" si="25"/>
        <v>8.41</v>
      </c>
      <c r="S560" s="5">
        <f t="shared" si="25"/>
        <v>5.92</v>
      </c>
      <c r="T560" s="23">
        <f>('Investor-Inputs'!$G$19 * Q560) + ('Investor-Inputs'!$J$19 * R560) + ('Investor-Inputs'!$N$19 * S560)</f>
        <v>50.688000000000002</v>
      </c>
      <c r="U560" s="27">
        <f t="shared" si="26"/>
        <v>281</v>
      </c>
    </row>
    <row r="561" spans="3:21" x14ac:dyDescent="0.25">
      <c r="C561" s="2" t="s">
        <v>314</v>
      </c>
      <c r="D561" s="2">
        <v>4</v>
      </c>
      <c r="E561" s="2" t="s">
        <v>14</v>
      </c>
      <c r="F561" s="2" t="s">
        <v>309</v>
      </c>
      <c r="G561" s="3">
        <v>3.81</v>
      </c>
      <c r="H561" s="3">
        <v>2.31</v>
      </c>
      <c r="I561" s="3">
        <v>9.5399999999999991</v>
      </c>
      <c r="J561" s="3">
        <v>6.36</v>
      </c>
      <c r="K561" s="3">
        <v>9.23</v>
      </c>
      <c r="L561" s="21">
        <v>8.16</v>
      </c>
      <c r="M561" s="3">
        <v>1.72</v>
      </c>
      <c r="N561" s="2" t="s">
        <v>242</v>
      </c>
      <c r="O561" s="4" t="s">
        <v>17</v>
      </c>
      <c r="P561" s="18" t="s">
        <v>350</v>
      </c>
      <c r="Q561" s="5">
        <f t="shared" si="24"/>
        <v>8.4310000000000009</v>
      </c>
      <c r="R561" s="5">
        <f t="shared" si="25"/>
        <v>7.26</v>
      </c>
      <c r="S561" s="5">
        <f t="shared" si="25"/>
        <v>5.4750000000000005</v>
      </c>
      <c r="T561" s="23">
        <f>('Investor-Inputs'!$G$19 * Q561) + ('Investor-Inputs'!$J$19 * R561) + ('Investor-Inputs'!$N$19 * S561)</f>
        <v>45.288000000000004</v>
      </c>
      <c r="U561" s="27">
        <f t="shared" si="26"/>
        <v>293</v>
      </c>
    </row>
    <row r="562" spans="3:21" x14ac:dyDescent="0.25">
      <c r="C562" s="2" t="s">
        <v>315</v>
      </c>
      <c r="D562" s="2">
        <v>4</v>
      </c>
      <c r="E562" s="2" t="s">
        <v>14</v>
      </c>
      <c r="F562" s="2" t="s">
        <v>316</v>
      </c>
      <c r="G562" s="3">
        <v>5.78</v>
      </c>
      <c r="H562" s="3">
        <v>5.82</v>
      </c>
      <c r="I562" s="3">
        <v>6.87</v>
      </c>
      <c r="J562" s="3">
        <v>6.55</v>
      </c>
      <c r="K562" s="3">
        <v>5.89</v>
      </c>
      <c r="L562" s="21">
        <v>6.44</v>
      </c>
      <c r="M562" s="3">
        <v>1.81</v>
      </c>
      <c r="N562" s="2" t="s">
        <v>229</v>
      </c>
      <c r="O562" s="4" t="s">
        <v>17</v>
      </c>
      <c r="P562" s="18" t="s">
        <v>350</v>
      </c>
      <c r="Q562" s="5">
        <f t="shared" si="24"/>
        <v>5.6929999999999996</v>
      </c>
      <c r="R562" s="5">
        <f t="shared" si="25"/>
        <v>6.4950000000000001</v>
      </c>
      <c r="S562" s="5">
        <f t="shared" si="25"/>
        <v>3.8499999999999996</v>
      </c>
      <c r="T562" s="23">
        <f>('Investor-Inputs'!$G$19 * Q562) + ('Investor-Inputs'!$J$19 * R562) + ('Investor-Inputs'!$N$19 * S562)</f>
        <v>33.919000000000004</v>
      </c>
      <c r="U562" s="27">
        <f t="shared" si="26"/>
        <v>436</v>
      </c>
    </row>
    <row r="563" spans="3:21" x14ac:dyDescent="0.25">
      <c r="C563" s="2" t="s">
        <v>317</v>
      </c>
      <c r="D563" s="2">
        <v>4</v>
      </c>
      <c r="E563" s="2" t="s">
        <v>14</v>
      </c>
      <c r="F563" s="2" t="s">
        <v>316</v>
      </c>
      <c r="G563" s="3">
        <v>5.77</v>
      </c>
      <c r="H563" s="3">
        <v>5.85</v>
      </c>
      <c r="I563" s="3">
        <v>6.81</v>
      </c>
      <c r="J563" s="3">
        <v>6.53</v>
      </c>
      <c r="K563" s="3">
        <v>5.9</v>
      </c>
      <c r="L563" s="21">
        <v>6.4</v>
      </c>
      <c r="M563" s="3">
        <v>2.5099999999999998</v>
      </c>
      <c r="N563" s="2" t="s">
        <v>229</v>
      </c>
      <c r="O563" s="4" t="s">
        <v>24</v>
      </c>
      <c r="P563" s="18" t="s">
        <v>350</v>
      </c>
      <c r="Q563" s="5">
        <f t="shared" si="24"/>
        <v>5.6740000000000004</v>
      </c>
      <c r="R563" s="5">
        <f t="shared" si="25"/>
        <v>6.4649999999999999</v>
      </c>
      <c r="S563" s="5">
        <f t="shared" si="25"/>
        <v>4.2050000000000001</v>
      </c>
      <c r="T563" s="23">
        <f>('Investor-Inputs'!$G$19 * Q563) + ('Investor-Inputs'!$J$19 * R563) + ('Investor-Inputs'!$N$19 * S563)</f>
        <v>34.157000000000004</v>
      </c>
      <c r="U563" s="27">
        <f t="shared" si="26"/>
        <v>416</v>
      </c>
    </row>
    <row r="564" spans="3:21" x14ac:dyDescent="0.25">
      <c r="C564" s="2" t="s">
        <v>318</v>
      </c>
      <c r="D564" s="2">
        <v>4</v>
      </c>
      <c r="E564" s="2" t="s">
        <v>14</v>
      </c>
      <c r="F564" s="2" t="s">
        <v>316</v>
      </c>
      <c r="G564" s="3">
        <v>5.84</v>
      </c>
      <c r="H564" s="3">
        <v>5.92</v>
      </c>
      <c r="I564" s="3">
        <v>6.92</v>
      </c>
      <c r="J564" s="3">
        <v>6.6</v>
      </c>
      <c r="K564" s="3">
        <v>5.93</v>
      </c>
      <c r="L564" s="21">
        <v>6.49</v>
      </c>
      <c r="M564" s="3">
        <v>7.31</v>
      </c>
      <c r="N564" s="2" t="s">
        <v>229</v>
      </c>
      <c r="O564" s="4" t="s">
        <v>17</v>
      </c>
      <c r="P564" s="18" t="s">
        <v>350</v>
      </c>
      <c r="Q564" s="5">
        <f t="shared" si="24"/>
        <v>5.7330000000000005</v>
      </c>
      <c r="R564" s="5">
        <f t="shared" si="25"/>
        <v>6.5449999999999999</v>
      </c>
      <c r="S564" s="5">
        <f t="shared" si="25"/>
        <v>6.6199999999999992</v>
      </c>
      <c r="T564" s="23">
        <f>('Investor-Inputs'!$G$19 * Q564) + ('Investor-Inputs'!$J$19 * R564) + ('Investor-Inputs'!$N$19 * S564)</f>
        <v>36.908999999999999</v>
      </c>
      <c r="U564" s="27">
        <f t="shared" si="26"/>
        <v>343</v>
      </c>
    </row>
    <row r="565" spans="3:21" x14ac:dyDescent="0.25">
      <c r="C565" s="2" t="s">
        <v>319</v>
      </c>
      <c r="D565" s="2">
        <v>4</v>
      </c>
      <c r="E565" s="2" t="s">
        <v>14</v>
      </c>
      <c r="F565" s="2" t="s">
        <v>316</v>
      </c>
      <c r="G565" s="3">
        <v>5.84</v>
      </c>
      <c r="H565" s="3">
        <v>5.91</v>
      </c>
      <c r="I565" s="3">
        <v>6.92</v>
      </c>
      <c r="J565" s="3">
        <v>6.61</v>
      </c>
      <c r="K565" s="3">
        <v>5.97</v>
      </c>
      <c r="L565" s="21">
        <v>6.5</v>
      </c>
      <c r="M565" s="3">
        <v>4.6500000000000004</v>
      </c>
      <c r="N565" s="2" t="s">
        <v>229</v>
      </c>
      <c r="O565" s="4" t="s">
        <v>17</v>
      </c>
      <c r="P565" s="18" t="s">
        <v>350</v>
      </c>
      <c r="Q565" s="5">
        <f t="shared" si="24"/>
        <v>5.7530000000000001</v>
      </c>
      <c r="R565" s="5">
        <f t="shared" si="25"/>
        <v>6.5549999999999997</v>
      </c>
      <c r="S565" s="5">
        <f t="shared" si="25"/>
        <v>5.3100000000000005</v>
      </c>
      <c r="T565" s="23">
        <f>('Investor-Inputs'!$G$19 * Q565) + ('Investor-Inputs'!$J$19 * R565) + ('Investor-Inputs'!$N$19 * S565)</f>
        <v>35.679000000000002</v>
      </c>
      <c r="U565" s="27">
        <f t="shared" si="26"/>
        <v>369</v>
      </c>
    </row>
    <row r="566" spans="3:21" x14ac:dyDescent="0.25">
      <c r="C566" s="2" t="s">
        <v>320</v>
      </c>
      <c r="D566" s="2">
        <v>5</v>
      </c>
      <c r="E566" s="2" t="s">
        <v>14</v>
      </c>
      <c r="F566" s="2" t="s">
        <v>316</v>
      </c>
      <c r="G566" s="3">
        <v>5.9</v>
      </c>
      <c r="H566" s="3">
        <v>5.95</v>
      </c>
      <c r="I566" s="3">
        <v>6.96</v>
      </c>
      <c r="J566" s="3">
        <v>6.62</v>
      </c>
      <c r="K566" s="3">
        <v>6.15</v>
      </c>
      <c r="L566" s="21">
        <v>6.62</v>
      </c>
      <c r="M566" s="3">
        <v>3.97</v>
      </c>
      <c r="N566" s="2" t="s">
        <v>229</v>
      </c>
      <c r="O566" s="4" t="s">
        <v>17</v>
      </c>
      <c r="P566" s="18" t="s">
        <v>350</v>
      </c>
      <c r="Q566" s="5">
        <f t="shared" si="24"/>
        <v>5.859</v>
      </c>
      <c r="R566" s="5">
        <f t="shared" si="25"/>
        <v>6.62</v>
      </c>
      <c r="S566" s="5">
        <f t="shared" si="25"/>
        <v>5.0600000000000005</v>
      </c>
      <c r="T566" s="23">
        <f>('Investor-Inputs'!$G$19 * Q566) + ('Investor-Inputs'!$J$19 * R566) + ('Investor-Inputs'!$N$19 * S566)</f>
        <v>35.877000000000002</v>
      </c>
      <c r="U566" s="27">
        <f t="shared" si="26"/>
        <v>357</v>
      </c>
    </row>
    <row r="567" spans="3:21" x14ac:dyDescent="0.25">
      <c r="C567" s="2" t="s">
        <v>321</v>
      </c>
      <c r="D567" s="2">
        <v>4</v>
      </c>
      <c r="E567" s="2" t="s">
        <v>14</v>
      </c>
      <c r="F567" s="2" t="s">
        <v>316</v>
      </c>
      <c r="G567" s="3">
        <v>5.85</v>
      </c>
      <c r="H567" s="3">
        <v>5.94</v>
      </c>
      <c r="I567" s="3">
        <v>7.06</v>
      </c>
      <c r="J567" s="3">
        <v>6.69</v>
      </c>
      <c r="K567" s="3">
        <v>6.14</v>
      </c>
      <c r="L567" s="21">
        <v>6.64</v>
      </c>
      <c r="M567" s="3">
        <v>3.34</v>
      </c>
      <c r="N567" s="2" t="s">
        <v>229</v>
      </c>
      <c r="O567" s="4" t="s">
        <v>28</v>
      </c>
      <c r="P567" s="18" t="s">
        <v>350</v>
      </c>
      <c r="Q567" s="5">
        <f t="shared" si="24"/>
        <v>5.8940000000000001</v>
      </c>
      <c r="R567" s="5">
        <f t="shared" si="25"/>
        <v>6.665</v>
      </c>
      <c r="S567" s="5">
        <f t="shared" si="25"/>
        <v>4.74</v>
      </c>
      <c r="T567" s="23">
        <f>('Investor-Inputs'!$G$19 * Q567) + ('Investor-Inputs'!$J$19 * R567) + ('Investor-Inputs'!$N$19 * S567)</f>
        <v>35.752000000000002</v>
      </c>
      <c r="U567" s="27">
        <f t="shared" si="26"/>
        <v>361</v>
      </c>
    </row>
    <row r="568" spans="3:21" x14ac:dyDescent="0.25">
      <c r="C568" s="2" t="s">
        <v>322</v>
      </c>
      <c r="D568" s="2">
        <v>5</v>
      </c>
      <c r="E568" s="2" t="s">
        <v>14</v>
      </c>
      <c r="F568" s="2" t="s">
        <v>316</v>
      </c>
      <c r="G568" s="3">
        <v>5.95</v>
      </c>
      <c r="H568" s="3">
        <v>5.93</v>
      </c>
      <c r="I568" s="3">
        <v>6.99</v>
      </c>
      <c r="J568" s="3">
        <v>6.63</v>
      </c>
      <c r="K568" s="3">
        <v>6.15</v>
      </c>
      <c r="L568" s="21">
        <v>6.61</v>
      </c>
      <c r="M568" s="3">
        <v>2.3199999999999998</v>
      </c>
      <c r="N568" s="2" t="s">
        <v>229</v>
      </c>
      <c r="O568" s="4" t="s">
        <v>28</v>
      </c>
      <c r="P568" s="18" t="s">
        <v>350</v>
      </c>
      <c r="Q568" s="5">
        <f t="shared" si="24"/>
        <v>5.8710000000000004</v>
      </c>
      <c r="R568" s="5">
        <f t="shared" si="25"/>
        <v>6.62</v>
      </c>
      <c r="S568" s="5">
        <f t="shared" si="25"/>
        <v>4.2350000000000003</v>
      </c>
      <c r="T568" s="23">
        <f>('Investor-Inputs'!$G$19 * Q568) + ('Investor-Inputs'!$J$19 * R568) + ('Investor-Inputs'!$N$19 * S568)</f>
        <v>35.088000000000001</v>
      </c>
      <c r="U568" s="27">
        <f t="shared" si="26"/>
        <v>391</v>
      </c>
    </row>
    <row r="569" spans="3:21" x14ac:dyDescent="0.25">
      <c r="C569" s="2" t="s">
        <v>323</v>
      </c>
      <c r="D569" s="2">
        <v>4</v>
      </c>
      <c r="E569" s="2" t="s">
        <v>14</v>
      </c>
      <c r="F569" s="2" t="s">
        <v>316</v>
      </c>
      <c r="G569" s="3">
        <v>5.84</v>
      </c>
      <c r="H569" s="3">
        <v>5.89</v>
      </c>
      <c r="I569" s="3">
        <v>6.85</v>
      </c>
      <c r="J569" s="3">
        <v>6.56</v>
      </c>
      <c r="K569" s="3">
        <v>5.86</v>
      </c>
      <c r="L569" s="21">
        <v>6.43</v>
      </c>
      <c r="M569" s="3">
        <v>1.91</v>
      </c>
      <c r="N569" s="2" t="s">
        <v>229</v>
      </c>
      <c r="O569" s="4" t="s">
        <v>24</v>
      </c>
      <c r="P569" s="18" t="s">
        <v>350</v>
      </c>
      <c r="Q569" s="5">
        <f t="shared" si="24"/>
        <v>5.67</v>
      </c>
      <c r="R569" s="5">
        <f t="shared" si="25"/>
        <v>6.4949999999999992</v>
      </c>
      <c r="S569" s="5">
        <f t="shared" si="25"/>
        <v>3.8850000000000002</v>
      </c>
      <c r="T569" s="23">
        <f>('Investor-Inputs'!$G$19 * Q569) + ('Investor-Inputs'!$J$19 * R569) + ('Investor-Inputs'!$N$19 * S569)</f>
        <v>33.884999999999998</v>
      </c>
      <c r="U569" s="27">
        <f t="shared" si="26"/>
        <v>438</v>
      </c>
    </row>
    <row r="570" spans="3:21" x14ac:dyDescent="0.25">
      <c r="C570" s="2" t="s">
        <v>324</v>
      </c>
      <c r="D570" s="2">
        <v>4</v>
      </c>
      <c r="E570" s="2" t="s">
        <v>14</v>
      </c>
      <c r="F570" s="2" t="s">
        <v>316</v>
      </c>
      <c r="G570" s="3">
        <v>5.89</v>
      </c>
      <c r="H570" s="3">
        <v>5.93</v>
      </c>
      <c r="I570" s="3">
        <v>7</v>
      </c>
      <c r="J570" s="3">
        <v>6.68</v>
      </c>
      <c r="K570" s="3">
        <v>5.98</v>
      </c>
      <c r="L570" s="21">
        <v>6.54</v>
      </c>
      <c r="M570" s="3">
        <v>2.38</v>
      </c>
      <c r="N570" s="2" t="s">
        <v>229</v>
      </c>
      <c r="O570" s="4" t="s">
        <v>17</v>
      </c>
      <c r="P570" s="18" t="s">
        <v>350</v>
      </c>
      <c r="Q570" s="5">
        <f t="shared" si="24"/>
        <v>5.7900000000000009</v>
      </c>
      <c r="R570" s="5">
        <f t="shared" si="25"/>
        <v>6.6099999999999994</v>
      </c>
      <c r="S570" s="5">
        <f t="shared" si="25"/>
        <v>4.18</v>
      </c>
      <c r="T570" s="23">
        <f>('Investor-Inputs'!$G$19 * Q570) + ('Investor-Inputs'!$J$19 * R570) + ('Investor-Inputs'!$N$19 * S570)</f>
        <v>34.770000000000003</v>
      </c>
      <c r="U570" s="27">
        <f t="shared" si="26"/>
        <v>403</v>
      </c>
    </row>
    <row r="571" spans="3:21" x14ac:dyDescent="0.25">
      <c r="C571" s="2" t="s">
        <v>325</v>
      </c>
      <c r="D571" s="2">
        <v>4</v>
      </c>
      <c r="E571" s="2" t="s">
        <v>14</v>
      </c>
      <c r="F571" s="2" t="s">
        <v>326</v>
      </c>
      <c r="G571" s="3">
        <v>5.18</v>
      </c>
      <c r="H571" s="3">
        <v>3.19</v>
      </c>
      <c r="I571" s="3">
        <v>12.25</v>
      </c>
      <c r="J571" s="3">
        <v>8.42</v>
      </c>
      <c r="K571" s="3">
        <v>10.36</v>
      </c>
      <c r="L571" s="21">
        <v>9.7899999999999991</v>
      </c>
      <c r="M571" s="3">
        <v>1.76</v>
      </c>
      <c r="N571" s="2" t="s">
        <v>16</v>
      </c>
      <c r="O571" s="4" t="s">
        <v>17</v>
      </c>
      <c r="P571" s="18" t="s">
        <v>350</v>
      </c>
      <c r="Q571" s="5">
        <f t="shared" si="24"/>
        <v>10.08</v>
      </c>
      <c r="R571" s="5">
        <f t="shared" si="25"/>
        <v>9.1050000000000004</v>
      </c>
      <c r="S571" s="5">
        <f t="shared" si="25"/>
        <v>6.06</v>
      </c>
      <c r="T571" s="23">
        <f>('Investor-Inputs'!$G$19 * Q571) + ('Investor-Inputs'!$J$19 * R571) + ('Investor-Inputs'!$N$19 * S571)</f>
        <v>54.510000000000005</v>
      </c>
      <c r="U571" s="27">
        <f t="shared" si="26"/>
        <v>271</v>
      </c>
    </row>
    <row r="572" spans="3:21" x14ac:dyDescent="0.25">
      <c r="C572" s="2" t="s">
        <v>327</v>
      </c>
      <c r="D572" s="2">
        <v>4</v>
      </c>
      <c r="E572" s="2" t="s">
        <v>14</v>
      </c>
      <c r="F572" s="2" t="s">
        <v>326</v>
      </c>
      <c r="G572" s="3">
        <v>2.09</v>
      </c>
      <c r="H572" s="3">
        <v>-0.09</v>
      </c>
      <c r="I572" s="3">
        <v>13.22</v>
      </c>
      <c r="J572" s="3">
        <v>7.52</v>
      </c>
      <c r="K572" s="3">
        <v>10.67</v>
      </c>
      <c r="L572" s="21">
        <v>9.59</v>
      </c>
      <c r="M572" s="3">
        <v>1.93</v>
      </c>
      <c r="N572" s="2" t="s">
        <v>16</v>
      </c>
      <c r="O572" s="4" t="s">
        <v>17</v>
      </c>
      <c r="P572" s="18" t="s">
        <v>350</v>
      </c>
      <c r="Q572" s="5">
        <f t="shared" si="24"/>
        <v>10.623000000000001</v>
      </c>
      <c r="R572" s="5">
        <f t="shared" si="25"/>
        <v>8.5549999999999997</v>
      </c>
      <c r="S572" s="5">
        <f t="shared" si="25"/>
        <v>6.3</v>
      </c>
      <c r="T572" s="23">
        <f>('Investor-Inputs'!$G$19 * Q572) + ('Investor-Inputs'!$J$19 * R572) + ('Investor-Inputs'!$N$19 * S572)</f>
        <v>55.278999999999996</v>
      </c>
      <c r="U572" s="27">
        <f t="shared" si="26"/>
        <v>266</v>
      </c>
    </row>
    <row r="573" spans="3:21" x14ac:dyDescent="0.25">
      <c r="C573" s="2" t="s">
        <v>328</v>
      </c>
      <c r="D573" s="2">
        <v>4</v>
      </c>
      <c r="E573" s="2" t="s">
        <v>14</v>
      </c>
      <c r="F573" s="2" t="s">
        <v>326</v>
      </c>
      <c r="G573" s="3">
        <v>4.2699999999999996</v>
      </c>
      <c r="H573" s="3">
        <v>1.9</v>
      </c>
      <c r="I573" s="3">
        <v>11.58</v>
      </c>
      <c r="J573" s="3">
        <v>7.54</v>
      </c>
      <c r="K573" s="3">
        <v>8.5299999999999994</v>
      </c>
      <c r="L573" s="21">
        <v>8.65</v>
      </c>
      <c r="M573" s="3">
        <v>1.93</v>
      </c>
      <c r="N573" s="2" t="s">
        <v>242</v>
      </c>
      <c r="O573" s="4" t="s">
        <v>24</v>
      </c>
      <c r="P573" s="18" t="s">
        <v>350</v>
      </c>
      <c r="Q573" s="5">
        <f t="shared" si="24"/>
        <v>8.8970000000000002</v>
      </c>
      <c r="R573" s="5">
        <f t="shared" si="25"/>
        <v>8.0950000000000006</v>
      </c>
      <c r="S573" s="5">
        <f t="shared" si="25"/>
        <v>5.2299999999999995</v>
      </c>
      <c r="T573" s="23">
        <f>('Investor-Inputs'!$G$19 * Q573) + ('Investor-Inputs'!$J$19 * R573) + ('Investor-Inputs'!$N$19 * S573)</f>
        <v>48.110999999999997</v>
      </c>
      <c r="U573" s="27">
        <f t="shared" si="26"/>
        <v>285</v>
      </c>
    </row>
    <row r="574" spans="3:21" x14ac:dyDescent="0.25">
      <c r="C574" s="2" t="s">
        <v>329</v>
      </c>
      <c r="D574" s="2">
        <v>4</v>
      </c>
      <c r="E574" s="2" t="s">
        <v>14</v>
      </c>
      <c r="F574" s="2" t="s">
        <v>326</v>
      </c>
      <c r="G574" s="3">
        <v>1.02</v>
      </c>
      <c r="H574" s="3">
        <v>-1.96</v>
      </c>
      <c r="I574" s="3">
        <v>11.51</v>
      </c>
      <c r="J574" s="3">
        <v>5.6</v>
      </c>
      <c r="K574" s="2"/>
      <c r="L574" s="20"/>
      <c r="M574" s="3">
        <v>2.14</v>
      </c>
      <c r="N574" s="2" t="s">
        <v>16</v>
      </c>
      <c r="O574" s="4" t="s">
        <v>24</v>
      </c>
      <c r="P574" s="18" t="s">
        <v>350</v>
      </c>
      <c r="Q574" s="5">
        <f t="shared" si="24"/>
        <v>4.6040000000000001</v>
      </c>
      <c r="R574" s="5">
        <f t="shared" si="25"/>
        <v>2.8</v>
      </c>
      <c r="S574" s="5">
        <f t="shared" si="25"/>
        <v>1.07</v>
      </c>
      <c r="T574" s="23">
        <f>('Investor-Inputs'!$G$19 * Q574) + ('Investor-Inputs'!$J$19 * R574) + ('Investor-Inputs'!$N$19 * S574)</f>
        <v>20.481999999999999</v>
      </c>
      <c r="U574" s="27">
        <f t="shared" si="26"/>
        <v>577</v>
      </c>
    </row>
    <row r="575" spans="3:21" x14ac:dyDescent="0.25">
      <c r="C575" s="2" t="s">
        <v>330</v>
      </c>
      <c r="D575" s="2">
        <v>5</v>
      </c>
      <c r="E575" s="2" t="s">
        <v>14</v>
      </c>
      <c r="F575" s="2" t="s">
        <v>326</v>
      </c>
      <c r="G575" s="3">
        <v>1.21</v>
      </c>
      <c r="H575" s="3">
        <v>-1.56</v>
      </c>
      <c r="I575" s="3">
        <v>11.76</v>
      </c>
      <c r="J575" s="3">
        <v>5.71</v>
      </c>
      <c r="K575" s="3">
        <v>13.24</v>
      </c>
      <c r="L575" s="21">
        <v>9.25</v>
      </c>
      <c r="M575" s="3">
        <v>1.99</v>
      </c>
      <c r="N575" s="2" t="s">
        <v>28</v>
      </c>
      <c r="O575" s="4" t="s">
        <v>28</v>
      </c>
      <c r="P575" s="18" t="s">
        <v>350</v>
      </c>
      <c r="Q575" s="5">
        <f t="shared" si="24"/>
        <v>11.324</v>
      </c>
      <c r="R575" s="5">
        <f t="shared" si="25"/>
        <v>7.48</v>
      </c>
      <c r="S575" s="5">
        <f t="shared" si="25"/>
        <v>7.6150000000000002</v>
      </c>
      <c r="T575" s="23">
        <f>('Investor-Inputs'!$G$19 * Q575) + ('Investor-Inputs'!$J$19 * R575) + ('Investor-Inputs'!$N$19 * S575)</f>
        <v>56.547000000000004</v>
      </c>
      <c r="U575" s="27">
        <f t="shared" si="26"/>
        <v>252</v>
      </c>
    </row>
    <row r="576" spans="3:21" x14ac:dyDescent="0.25">
      <c r="C576" s="2" t="s">
        <v>331</v>
      </c>
      <c r="D576" s="2">
        <v>5</v>
      </c>
      <c r="E576" s="2" t="s">
        <v>14</v>
      </c>
      <c r="F576" s="2" t="s">
        <v>326</v>
      </c>
      <c r="G576" s="3">
        <v>2.52</v>
      </c>
      <c r="H576" s="3">
        <v>-1.1299999999999999</v>
      </c>
      <c r="I576" s="3">
        <v>15.39</v>
      </c>
      <c r="J576" s="3">
        <v>7.48</v>
      </c>
      <c r="K576" s="3">
        <v>17.03</v>
      </c>
      <c r="L576" s="21">
        <v>13.08</v>
      </c>
      <c r="M576" s="3">
        <v>1.27</v>
      </c>
      <c r="N576" s="2" t="s">
        <v>16</v>
      </c>
      <c r="O576" s="4" t="s">
        <v>28</v>
      </c>
      <c r="P576" s="18" t="s">
        <v>350</v>
      </c>
      <c r="Q576" s="5">
        <f t="shared" si="24"/>
        <v>14.671000000000001</v>
      </c>
      <c r="R576" s="5">
        <f t="shared" si="25"/>
        <v>10.280000000000001</v>
      </c>
      <c r="S576" s="5">
        <f t="shared" si="25"/>
        <v>9.15</v>
      </c>
      <c r="T576" s="23">
        <f>('Investor-Inputs'!$G$19 * Q576) + ('Investor-Inputs'!$J$19 * R576) + ('Investor-Inputs'!$N$19 * S576)</f>
        <v>73.723000000000013</v>
      </c>
      <c r="U576" s="27">
        <f t="shared" si="26"/>
        <v>172</v>
      </c>
    </row>
    <row r="577" spans="3:21" x14ac:dyDescent="0.25">
      <c r="C577" s="2" t="s">
        <v>332</v>
      </c>
      <c r="D577" s="2">
        <v>4</v>
      </c>
      <c r="E577" s="2" t="s">
        <v>14</v>
      </c>
      <c r="F577" s="2" t="s">
        <v>326</v>
      </c>
      <c r="G577" s="3">
        <v>5.82</v>
      </c>
      <c r="H577" s="3">
        <v>2.13</v>
      </c>
      <c r="I577" s="3">
        <v>12.19</v>
      </c>
      <c r="J577" s="3">
        <v>8.4499999999999993</v>
      </c>
      <c r="K577" s="3">
        <v>11.2</v>
      </c>
      <c r="L577" s="21">
        <v>10.19</v>
      </c>
      <c r="M577" s="3">
        <v>2.19</v>
      </c>
      <c r="N577" s="2" t="s">
        <v>16</v>
      </c>
      <c r="O577" s="4" t="s">
        <v>17</v>
      </c>
      <c r="P577" s="18" t="s">
        <v>350</v>
      </c>
      <c r="Q577" s="5">
        <f t="shared" si="24"/>
        <v>10.475999999999999</v>
      </c>
      <c r="R577" s="5">
        <f t="shared" si="25"/>
        <v>9.32</v>
      </c>
      <c r="S577" s="5">
        <f t="shared" si="25"/>
        <v>6.6949999999999994</v>
      </c>
      <c r="T577" s="23">
        <f>('Investor-Inputs'!$G$19 * Q577) + ('Investor-Inputs'!$J$19 * R577) + ('Investor-Inputs'!$N$19 * S577)</f>
        <v>56.762999999999998</v>
      </c>
      <c r="U577" s="27">
        <f t="shared" si="26"/>
        <v>248</v>
      </c>
    </row>
    <row r="578" spans="3:21" x14ac:dyDescent="0.25">
      <c r="C578" s="2" t="s">
        <v>333</v>
      </c>
      <c r="D578" s="2">
        <v>4</v>
      </c>
      <c r="E578" s="2" t="s">
        <v>14</v>
      </c>
      <c r="F578" s="2" t="s">
        <v>326</v>
      </c>
      <c r="G578" s="3">
        <v>5.2</v>
      </c>
      <c r="H578" s="3">
        <v>2.42</v>
      </c>
      <c r="I578" s="3">
        <v>11.46</v>
      </c>
      <c r="J578" s="3">
        <v>7.27</v>
      </c>
      <c r="K578" s="2"/>
      <c r="L578" s="20"/>
      <c r="M578" s="3">
        <v>2.06</v>
      </c>
      <c r="N578" s="2" t="s">
        <v>16</v>
      </c>
      <c r="O578" s="4" t="s">
        <v>24</v>
      </c>
      <c r="P578" s="18" t="s">
        <v>350</v>
      </c>
      <c r="Q578" s="5">
        <f t="shared" si="24"/>
        <v>4.5840000000000005</v>
      </c>
      <c r="R578" s="5">
        <f t="shared" si="25"/>
        <v>3.6349999999999998</v>
      </c>
      <c r="S578" s="5">
        <f t="shared" si="25"/>
        <v>1.03</v>
      </c>
      <c r="T578" s="23">
        <f>('Investor-Inputs'!$G$19 * Q578) + ('Investor-Inputs'!$J$19 * R578) + ('Investor-Inputs'!$N$19 * S578)</f>
        <v>22.052000000000003</v>
      </c>
      <c r="U578" s="27">
        <f t="shared" si="26"/>
        <v>572</v>
      </c>
    </row>
    <row r="579" spans="3:21" x14ac:dyDescent="0.25">
      <c r="C579" s="2" t="s">
        <v>334</v>
      </c>
      <c r="D579" s="2">
        <v>4</v>
      </c>
      <c r="E579" s="2" t="s">
        <v>14</v>
      </c>
      <c r="F579" s="2" t="s">
        <v>326</v>
      </c>
      <c r="G579" s="3">
        <v>3.58</v>
      </c>
      <c r="H579" s="3">
        <v>1.38</v>
      </c>
      <c r="I579" s="3">
        <v>11.73</v>
      </c>
      <c r="J579" s="3">
        <v>6.97</v>
      </c>
      <c r="K579" s="3">
        <v>10.27</v>
      </c>
      <c r="L579" s="21">
        <v>8.99</v>
      </c>
      <c r="M579" s="3">
        <v>2.37</v>
      </c>
      <c r="N579" s="2" t="s">
        <v>16</v>
      </c>
      <c r="O579" s="4" t="s">
        <v>24</v>
      </c>
      <c r="P579" s="18" t="s">
        <v>350</v>
      </c>
      <c r="Q579" s="5">
        <f t="shared" si="24"/>
        <v>9.827</v>
      </c>
      <c r="R579" s="5">
        <f t="shared" si="25"/>
        <v>7.98</v>
      </c>
      <c r="S579" s="5">
        <f t="shared" si="25"/>
        <v>6.32</v>
      </c>
      <c r="T579" s="23">
        <f>('Investor-Inputs'!$G$19 * Q579) + ('Investor-Inputs'!$J$19 * R579) + ('Investor-Inputs'!$N$19 * S579)</f>
        <v>51.761000000000003</v>
      </c>
      <c r="U579" s="27">
        <f t="shared" si="26"/>
        <v>277</v>
      </c>
    </row>
    <row r="580" spans="3:21" x14ac:dyDescent="0.25">
      <c r="C580" s="2" t="s">
        <v>335</v>
      </c>
      <c r="D580" s="2">
        <v>4</v>
      </c>
      <c r="E580" s="2" t="s">
        <v>14</v>
      </c>
      <c r="F580" s="2" t="s">
        <v>326</v>
      </c>
      <c r="G580" s="3">
        <v>1.19</v>
      </c>
      <c r="H580" s="3">
        <v>-1.41</v>
      </c>
      <c r="I580" s="3">
        <v>16.760000000000002</v>
      </c>
      <c r="J580" s="3">
        <v>6.67</v>
      </c>
      <c r="K580" s="2"/>
      <c r="L580" s="20"/>
      <c r="M580" s="3">
        <v>2.5</v>
      </c>
      <c r="N580" s="2" t="s">
        <v>16</v>
      </c>
      <c r="O580" s="4" t="s">
        <v>28</v>
      </c>
      <c r="P580" s="18" t="s">
        <v>350</v>
      </c>
      <c r="Q580" s="5">
        <f t="shared" si="24"/>
        <v>6.7040000000000006</v>
      </c>
      <c r="R580" s="5">
        <f t="shared" si="25"/>
        <v>3.335</v>
      </c>
      <c r="S580" s="5">
        <f t="shared" si="25"/>
        <v>1.25</v>
      </c>
      <c r="T580" s="23">
        <f>('Investor-Inputs'!$G$19 * Q580) + ('Investor-Inputs'!$J$19 * R580) + ('Investor-Inputs'!$N$19 * S580)</f>
        <v>28.032000000000004</v>
      </c>
      <c r="U580" s="27">
        <f t="shared" si="26"/>
        <v>556</v>
      </c>
    </row>
    <row r="581" spans="3:21" x14ac:dyDescent="0.25">
      <c r="C581" s="2" t="s">
        <v>336</v>
      </c>
      <c r="D581" s="2">
        <v>5</v>
      </c>
      <c r="E581" s="2" t="s">
        <v>14</v>
      </c>
      <c r="F581" s="2" t="s">
        <v>326</v>
      </c>
      <c r="G581" s="3">
        <v>4.83</v>
      </c>
      <c r="H581" s="3">
        <v>2.75</v>
      </c>
      <c r="I581" s="3">
        <v>12.29</v>
      </c>
      <c r="J581" s="3">
        <v>7.89</v>
      </c>
      <c r="K581" s="2"/>
      <c r="L581" s="20"/>
      <c r="M581" s="3">
        <v>1.53</v>
      </c>
      <c r="N581" s="2" t="s">
        <v>16</v>
      </c>
      <c r="O581" s="4" t="s">
        <v>17</v>
      </c>
      <c r="P581" s="18" t="s">
        <v>350</v>
      </c>
      <c r="Q581" s="5">
        <f t="shared" si="24"/>
        <v>4.9160000000000004</v>
      </c>
      <c r="R581" s="5">
        <f t="shared" si="25"/>
        <v>3.9449999999999998</v>
      </c>
      <c r="S581" s="5">
        <f t="shared" si="25"/>
        <v>0.76500000000000001</v>
      </c>
      <c r="T581" s="23">
        <f>('Investor-Inputs'!$G$19 * Q581) + ('Investor-Inputs'!$J$19 * R581) + ('Investor-Inputs'!$N$19 * S581)</f>
        <v>23.403000000000002</v>
      </c>
      <c r="U581" s="27">
        <f t="shared" si="26"/>
        <v>570</v>
      </c>
    </row>
    <row r="582" spans="3:21" x14ac:dyDescent="0.25">
      <c r="C582" s="2" t="s">
        <v>337</v>
      </c>
      <c r="D582" s="2">
        <v>4</v>
      </c>
      <c r="E582" s="2" t="s">
        <v>14</v>
      </c>
      <c r="F582" s="2" t="s">
        <v>338</v>
      </c>
      <c r="G582" s="3">
        <v>6.76</v>
      </c>
      <c r="H582" s="3">
        <v>3.26</v>
      </c>
      <c r="I582" s="3">
        <v>14.49</v>
      </c>
      <c r="J582" s="3">
        <v>10.3</v>
      </c>
      <c r="K582" s="2"/>
      <c r="L582" s="20"/>
      <c r="M582" s="3">
        <v>1.1599999999999999</v>
      </c>
      <c r="N582" s="2" t="s">
        <v>28</v>
      </c>
      <c r="O582" s="4" t="s">
        <v>110</v>
      </c>
      <c r="P582" s="18" t="s">
        <v>350</v>
      </c>
      <c r="Q582" s="5">
        <f t="shared" si="24"/>
        <v>5.7960000000000003</v>
      </c>
      <c r="R582" s="5">
        <f t="shared" si="25"/>
        <v>5.15</v>
      </c>
      <c r="S582" s="5">
        <f t="shared" si="25"/>
        <v>0.57999999999999996</v>
      </c>
      <c r="T582" s="23">
        <f>('Investor-Inputs'!$G$19 * Q582) + ('Investor-Inputs'!$J$19 * R582) + ('Investor-Inputs'!$N$19 * S582)</f>
        <v>28.268000000000001</v>
      </c>
      <c r="U582" s="27">
        <f t="shared" si="26"/>
        <v>548</v>
      </c>
    </row>
    <row r="583" spans="3:21" x14ac:dyDescent="0.25">
      <c r="C583" s="2" t="s">
        <v>339</v>
      </c>
      <c r="D583" s="2">
        <v>5</v>
      </c>
      <c r="E583" s="2" t="s">
        <v>14</v>
      </c>
      <c r="F583" s="2" t="s">
        <v>338</v>
      </c>
      <c r="G583" s="3">
        <v>9.1</v>
      </c>
      <c r="H583" s="3">
        <v>5.29</v>
      </c>
      <c r="I583" s="3">
        <v>17.68</v>
      </c>
      <c r="J583" s="3">
        <v>12.53</v>
      </c>
      <c r="K583" s="3">
        <v>18.850000000000001</v>
      </c>
      <c r="L583" s="21">
        <v>15.66</v>
      </c>
      <c r="M583" s="3">
        <v>2.37</v>
      </c>
      <c r="N583" s="2" t="s">
        <v>16</v>
      </c>
      <c r="O583" s="4" t="s">
        <v>17</v>
      </c>
      <c r="P583" s="18" t="s">
        <v>350</v>
      </c>
      <c r="Q583" s="5">
        <f t="shared" si="24"/>
        <v>16.497</v>
      </c>
      <c r="R583" s="5">
        <f t="shared" si="25"/>
        <v>14.094999999999999</v>
      </c>
      <c r="S583" s="5">
        <f t="shared" si="25"/>
        <v>10.610000000000001</v>
      </c>
      <c r="T583" s="23">
        <f>('Investor-Inputs'!$G$19 * Q583) + ('Investor-Inputs'!$J$19 * R583) + ('Investor-Inputs'!$N$19 * S583)</f>
        <v>88.290999999999997</v>
      </c>
      <c r="U583" s="27">
        <f t="shared" si="26"/>
        <v>87</v>
      </c>
    </row>
    <row r="584" spans="3:21" x14ac:dyDescent="0.25">
      <c r="C584" s="2" t="s">
        <v>340</v>
      </c>
      <c r="D584" s="2">
        <v>4</v>
      </c>
      <c r="E584" s="2" t="s">
        <v>14</v>
      </c>
      <c r="F584" s="2" t="s">
        <v>338</v>
      </c>
      <c r="G584" s="3">
        <v>18.78</v>
      </c>
      <c r="H584" s="3">
        <v>14.36</v>
      </c>
      <c r="I584" s="3">
        <v>20.37</v>
      </c>
      <c r="J584" s="3">
        <v>17.03</v>
      </c>
      <c r="K584" s="3">
        <v>16.13</v>
      </c>
      <c r="L584" s="21">
        <v>16.809999999999999</v>
      </c>
      <c r="M584" s="3">
        <v>1.34</v>
      </c>
      <c r="N584" s="2" t="s">
        <v>16</v>
      </c>
      <c r="O584" s="4" t="s">
        <v>17</v>
      </c>
      <c r="P584" s="18" t="s">
        <v>350</v>
      </c>
      <c r="Q584" s="5">
        <f t="shared" ref="Q584:Q592" si="27">I584*0.4+K584*0.5</f>
        <v>16.213000000000001</v>
      </c>
      <c r="R584" s="5">
        <f t="shared" ref="R584:S592" si="28">(L584+J584)/2</f>
        <v>16.920000000000002</v>
      </c>
      <c r="S584" s="5">
        <f t="shared" si="28"/>
        <v>8.7349999999999994</v>
      </c>
      <c r="T584" s="23">
        <f>('Investor-Inputs'!$G$19 * Q584) + ('Investor-Inputs'!$J$19 * R584) + ('Investor-Inputs'!$N$19 * S584)</f>
        <v>91.214000000000013</v>
      </c>
      <c r="U584" s="27">
        <f t="shared" ref="U584:U592" si="29">_xlfn.RANK.EQ(T584,$T$7:$T$592,0)</f>
        <v>79</v>
      </c>
    </row>
    <row r="585" spans="3:21" x14ac:dyDescent="0.25">
      <c r="C585" s="2" t="s">
        <v>341</v>
      </c>
      <c r="D585" s="2">
        <v>4</v>
      </c>
      <c r="E585" s="2" t="s">
        <v>14</v>
      </c>
      <c r="F585" s="2" t="s">
        <v>338</v>
      </c>
      <c r="G585" s="3">
        <v>13.12</v>
      </c>
      <c r="H585" s="3">
        <v>10.08</v>
      </c>
      <c r="I585" s="3">
        <v>19.52</v>
      </c>
      <c r="J585" s="3">
        <v>14.58</v>
      </c>
      <c r="K585" s="3">
        <v>17.059999999999999</v>
      </c>
      <c r="L585" s="21">
        <v>16.25</v>
      </c>
      <c r="M585" s="3">
        <v>1.07</v>
      </c>
      <c r="N585" s="2" t="s">
        <v>16</v>
      </c>
      <c r="O585" s="4" t="s">
        <v>17</v>
      </c>
      <c r="P585" s="18" t="s">
        <v>350</v>
      </c>
      <c r="Q585" s="5">
        <f t="shared" si="27"/>
        <v>16.338000000000001</v>
      </c>
      <c r="R585" s="5">
        <f t="shared" si="28"/>
        <v>15.414999999999999</v>
      </c>
      <c r="S585" s="5">
        <f t="shared" si="28"/>
        <v>9.0649999999999995</v>
      </c>
      <c r="T585" s="23">
        <f>('Investor-Inputs'!$G$19 * Q585) + ('Investor-Inputs'!$J$19 * R585) + ('Investor-Inputs'!$N$19 * S585)</f>
        <v>88.908999999999992</v>
      </c>
      <c r="U585" s="27">
        <f t="shared" si="29"/>
        <v>85</v>
      </c>
    </row>
    <row r="586" spans="3:21" x14ac:dyDescent="0.25">
      <c r="C586" s="2" t="s">
        <v>342</v>
      </c>
      <c r="D586" s="2">
        <v>5</v>
      </c>
      <c r="E586" s="2" t="s">
        <v>14</v>
      </c>
      <c r="F586" s="2" t="s">
        <v>338</v>
      </c>
      <c r="G586" s="3">
        <v>20.86</v>
      </c>
      <c r="H586" s="3">
        <v>17.73</v>
      </c>
      <c r="I586" s="3">
        <v>22.37</v>
      </c>
      <c r="J586" s="3">
        <v>18.37</v>
      </c>
      <c r="K586" s="3">
        <v>21.48</v>
      </c>
      <c r="L586" s="21">
        <v>19.28</v>
      </c>
      <c r="M586" s="3">
        <v>2.57</v>
      </c>
      <c r="N586" s="2" t="s">
        <v>28</v>
      </c>
      <c r="O586" s="4" t="s">
        <v>28</v>
      </c>
      <c r="P586" s="18" t="s">
        <v>350</v>
      </c>
      <c r="Q586" s="5">
        <f t="shared" si="27"/>
        <v>19.688000000000002</v>
      </c>
      <c r="R586" s="5">
        <f t="shared" si="28"/>
        <v>18.825000000000003</v>
      </c>
      <c r="S586" s="5">
        <f t="shared" si="28"/>
        <v>12.025</v>
      </c>
      <c r="T586" s="23">
        <f>('Investor-Inputs'!$G$19 * Q586) + ('Investor-Inputs'!$J$19 * R586) + ('Investor-Inputs'!$N$19 * S586)</f>
        <v>108.73900000000002</v>
      </c>
      <c r="U586" s="27">
        <f t="shared" si="29"/>
        <v>37</v>
      </c>
    </row>
    <row r="587" spans="3:21" x14ac:dyDescent="0.25">
      <c r="C587" s="2" t="s">
        <v>343</v>
      </c>
      <c r="D587" s="2">
        <v>4</v>
      </c>
      <c r="E587" s="2" t="s">
        <v>14</v>
      </c>
      <c r="F587" s="2" t="s">
        <v>338</v>
      </c>
      <c r="G587" s="3">
        <v>16.78</v>
      </c>
      <c r="H587" s="3">
        <v>13.15</v>
      </c>
      <c r="I587" s="3">
        <v>17.75</v>
      </c>
      <c r="J587" s="3">
        <v>14.58</v>
      </c>
      <c r="K587" s="3">
        <v>14.55</v>
      </c>
      <c r="L587" s="21">
        <v>14.92</v>
      </c>
      <c r="M587" s="3">
        <v>1.84</v>
      </c>
      <c r="N587" s="2" t="s">
        <v>16</v>
      </c>
      <c r="O587" s="4" t="s">
        <v>17</v>
      </c>
      <c r="P587" s="18" t="s">
        <v>350</v>
      </c>
      <c r="Q587" s="5">
        <f t="shared" si="27"/>
        <v>14.375</v>
      </c>
      <c r="R587" s="5">
        <f t="shared" si="28"/>
        <v>14.75</v>
      </c>
      <c r="S587" s="5">
        <f t="shared" si="28"/>
        <v>8.1950000000000003</v>
      </c>
      <c r="T587" s="23">
        <f>('Investor-Inputs'!$G$19 * Q587) + ('Investor-Inputs'!$J$19 * R587) + ('Investor-Inputs'!$N$19 * S587)</f>
        <v>80.819999999999993</v>
      </c>
      <c r="U587" s="27">
        <f t="shared" si="29"/>
        <v>126</v>
      </c>
    </row>
    <row r="588" spans="3:21" x14ac:dyDescent="0.25">
      <c r="C588" s="2" t="s">
        <v>344</v>
      </c>
      <c r="D588" s="2">
        <v>4</v>
      </c>
      <c r="E588" s="2" t="s">
        <v>14</v>
      </c>
      <c r="F588" s="2" t="s">
        <v>345</v>
      </c>
      <c r="G588" s="3">
        <v>55.7</v>
      </c>
      <c r="H588" s="3">
        <v>54.17</v>
      </c>
      <c r="I588" s="3">
        <v>33.520000000000003</v>
      </c>
      <c r="J588" s="3">
        <v>44.04</v>
      </c>
      <c r="K588" s="3">
        <v>24.54</v>
      </c>
      <c r="L588" s="21">
        <v>32.729999999999997</v>
      </c>
      <c r="M588" s="3">
        <v>0.48</v>
      </c>
      <c r="N588" s="2" t="s">
        <v>16</v>
      </c>
      <c r="O588" s="4" t="s">
        <v>110</v>
      </c>
      <c r="P588" s="18" t="s">
        <v>350</v>
      </c>
      <c r="Q588" s="5">
        <f t="shared" si="27"/>
        <v>25.678000000000001</v>
      </c>
      <c r="R588" s="5">
        <f t="shared" si="28"/>
        <v>38.384999999999998</v>
      </c>
      <c r="S588" s="5">
        <f t="shared" si="28"/>
        <v>12.51</v>
      </c>
      <c r="T588" s="23">
        <f>('Investor-Inputs'!$G$19 * Q588) + ('Investor-Inputs'!$J$19 * R588) + ('Investor-Inputs'!$N$19 * S588)</f>
        <v>166.31399999999999</v>
      </c>
      <c r="U588" s="27">
        <f t="shared" si="29"/>
        <v>5</v>
      </c>
    </row>
    <row r="589" spans="3:21" x14ac:dyDescent="0.25">
      <c r="C589" s="2" t="s">
        <v>346</v>
      </c>
      <c r="D589" s="2">
        <v>4</v>
      </c>
      <c r="E589" s="2" t="s">
        <v>14</v>
      </c>
      <c r="F589" s="2" t="s">
        <v>345</v>
      </c>
      <c r="G589" s="3">
        <v>56</v>
      </c>
      <c r="H589" s="3">
        <v>53.89</v>
      </c>
      <c r="I589" s="3">
        <v>33.71</v>
      </c>
      <c r="J589" s="3">
        <v>44.49</v>
      </c>
      <c r="K589" s="3">
        <v>24.7</v>
      </c>
      <c r="L589" s="21">
        <v>32.950000000000003</v>
      </c>
      <c r="M589" s="3">
        <v>0.51</v>
      </c>
      <c r="N589" s="2" t="s">
        <v>28</v>
      </c>
      <c r="O589" s="4" t="s">
        <v>24</v>
      </c>
      <c r="P589" s="18" t="s">
        <v>350</v>
      </c>
      <c r="Q589" s="5">
        <f t="shared" si="27"/>
        <v>25.834000000000003</v>
      </c>
      <c r="R589" s="5">
        <f t="shared" si="28"/>
        <v>38.72</v>
      </c>
      <c r="S589" s="5">
        <f t="shared" si="28"/>
        <v>12.605</v>
      </c>
      <c r="T589" s="23">
        <f>('Investor-Inputs'!$G$19 * Q589) + ('Investor-Inputs'!$J$19 * R589) + ('Investor-Inputs'!$N$19 * S589)</f>
        <v>167.547</v>
      </c>
      <c r="U589" s="27">
        <f t="shared" si="29"/>
        <v>3</v>
      </c>
    </row>
    <row r="590" spans="3:21" x14ac:dyDescent="0.25">
      <c r="C590" s="2" t="s">
        <v>347</v>
      </c>
      <c r="D590" s="2">
        <v>4</v>
      </c>
      <c r="E590" s="2" t="s">
        <v>14</v>
      </c>
      <c r="F590" s="2" t="s">
        <v>345</v>
      </c>
      <c r="G590" s="3">
        <v>56.08</v>
      </c>
      <c r="H590" s="3">
        <v>54.16</v>
      </c>
      <c r="I590" s="3">
        <v>33.76</v>
      </c>
      <c r="J590" s="3">
        <v>44.55</v>
      </c>
      <c r="K590" s="3">
        <v>24.72</v>
      </c>
      <c r="L590" s="21">
        <v>33.01</v>
      </c>
      <c r="M590" s="3">
        <v>0.42</v>
      </c>
      <c r="N590" s="2" t="s">
        <v>28</v>
      </c>
      <c r="O590" s="4" t="s">
        <v>24</v>
      </c>
      <c r="P590" s="18" t="s">
        <v>350</v>
      </c>
      <c r="Q590" s="5">
        <f t="shared" si="27"/>
        <v>25.863999999999997</v>
      </c>
      <c r="R590" s="5">
        <f t="shared" si="28"/>
        <v>38.78</v>
      </c>
      <c r="S590" s="5">
        <f t="shared" si="28"/>
        <v>12.57</v>
      </c>
      <c r="T590" s="23">
        <f>('Investor-Inputs'!$G$19 * Q590) + ('Investor-Inputs'!$J$19 * R590) + ('Investor-Inputs'!$N$19 * S590)</f>
        <v>167.72199999999998</v>
      </c>
      <c r="U590" s="27">
        <f t="shared" si="29"/>
        <v>1</v>
      </c>
    </row>
    <row r="591" spans="3:21" x14ac:dyDescent="0.25">
      <c r="C591" s="2" t="s">
        <v>348</v>
      </c>
      <c r="D591" s="2">
        <v>4</v>
      </c>
      <c r="E591" s="2" t="s">
        <v>14</v>
      </c>
      <c r="F591" s="2" t="s">
        <v>345</v>
      </c>
      <c r="G591" s="3">
        <v>53.31</v>
      </c>
      <c r="H591" s="3">
        <v>51.94</v>
      </c>
      <c r="I591" s="2"/>
      <c r="J591" s="2"/>
      <c r="K591" s="2"/>
      <c r="L591" s="20"/>
      <c r="M591" s="3">
        <v>0.68</v>
      </c>
      <c r="N591" s="2" t="s">
        <v>28</v>
      </c>
      <c r="O591" s="4" t="s">
        <v>110</v>
      </c>
      <c r="P591" s="18" t="s">
        <v>350</v>
      </c>
      <c r="Q591" s="5">
        <f t="shared" si="27"/>
        <v>0</v>
      </c>
      <c r="R591" s="5">
        <f t="shared" si="28"/>
        <v>0</v>
      </c>
      <c r="S591" s="5">
        <f t="shared" si="28"/>
        <v>0.34</v>
      </c>
      <c r="T591" s="23">
        <f>('Investor-Inputs'!$G$19 * Q591) + ('Investor-Inputs'!$J$19 * R591) + ('Investor-Inputs'!$N$19 * S591)</f>
        <v>0.34</v>
      </c>
      <c r="U591" s="27">
        <f t="shared" si="29"/>
        <v>583</v>
      </c>
    </row>
    <row r="592" spans="3:21" x14ac:dyDescent="0.25">
      <c r="C592" s="2" t="s">
        <v>349</v>
      </c>
      <c r="D592" s="2">
        <v>4</v>
      </c>
      <c r="E592" s="2" t="s">
        <v>14</v>
      </c>
      <c r="F592" s="2" t="s">
        <v>345</v>
      </c>
      <c r="G592" s="3">
        <v>55.76</v>
      </c>
      <c r="H592" s="3">
        <v>54.35</v>
      </c>
      <c r="I592" s="3">
        <v>33.82</v>
      </c>
      <c r="J592" s="3">
        <v>44.66</v>
      </c>
      <c r="K592" s="2"/>
      <c r="L592" s="20"/>
      <c r="M592" s="3">
        <v>0.53</v>
      </c>
      <c r="N592" s="2" t="s">
        <v>28</v>
      </c>
      <c r="O592" s="4" t="s">
        <v>24</v>
      </c>
      <c r="P592" s="18" t="s">
        <v>350</v>
      </c>
      <c r="Q592" s="5">
        <f t="shared" si="27"/>
        <v>13.528</v>
      </c>
      <c r="R592" s="5">
        <f t="shared" si="28"/>
        <v>22.33</v>
      </c>
      <c r="S592" s="5">
        <f t="shared" si="28"/>
        <v>0.26500000000000001</v>
      </c>
      <c r="T592" s="23">
        <f>('Investor-Inputs'!$G$19 * Q592) + ('Investor-Inputs'!$J$19 * R592) + ('Investor-Inputs'!$N$19 * S592)</f>
        <v>85.509</v>
      </c>
      <c r="U592" s="27">
        <f t="shared" si="29"/>
        <v>110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tabSelected="1" workbookViewId="0">
      <selection activeCell="B27" sqref="B27"/>
    </sheetView>
  </sheetViews>
  <sheetFormatPr defaultRowHeight="15" x14ac:dyDescent="0.25"/>
  <cols>
    <col min="1" max="1" width="73.42578125" customWidth="1"/>
    <col min="2" max="2" width="15.42578125" bestFit="1" customWidth="1"/>
    <col min="3" max="3" width="13.28515625" bestFit="1" customWidth="1"/>
  </cols>
  <sheetData>
    <row r="1" spans="1:2" x14ac:dyDescent="0.25">
      <c r="A1" s="29" t="s">
        <v>374</v>
      </c>
      <c r="B1" t="s">
        <v>376</v>
      </c>
    </row>
    <row r="2" spans="1:2" x14ac:dyDescent="0.25">
      <c r="A2" s="30" t="s">
        <v>230</v>
      </c>
      <c r="B2" s="31">
        <v>585</v>
      </c>
    </row>
    <row r="3" spans="1:2" x14ac:dyDescent="0.25">
      <c r="A3" s="30" t="s">
        <v>62</v>
      </c>
      <c r="B3" s="31">
        <v>568</v>
      </c>
    </row>
    <row r="4" spans="1:2" x14ac:dyDescent="0.25">
      <c r="A4" s="30" t="s">
        <v>179</v>
      </c>
      <c r="B4" s="31">
        <v>579</v>
      </c>
    </row>
    <row r="5" spans="1:2" x14ac:dyDescent="0.25">
      <c r="A5" s="30" t="s">
        <v>329</v>
      </c>
      <c r="B5" s="31">
        <v>577</v>
      </c>
    </row>
    <row r="6" spans="1:2" x14ac:dyDescent="0.25">
      <c r="A6" s="30" t="s">
        <v>333</v>
      </c>
      <c r="B6" s="31">
        <v>572</v>
      </c>
    </row>
    <row r="7" spans="1:2" x14ac:dyDescent="0.25">
      <c r="A7" s="30" t="s">
        <v>278</v>
      </c>
      <c r="B7" s="31">
        <v>581</v>
      </c>
    </row>
    <row r="8" spans="1:2" x14ac:dyDescent="0.25">
      <c r="A8" s="30" t="s">
        <v>305</v>
      </c>
      <c r="B8" s="31">
        <v>575</v>
      </c>
    </row>
    <row r="9" spans="1:2" x14ac:dyDescent="0.25">
      <c r="A9" s="30" t="s">
        <v>336</v>
      </c>
      <c r="B9" s="31">
        <v>570</v>
      </c>
    </row>
    <row r="10" spans="1:2" x14ac:dyDescent="0.25">
      <c r="A10" s="30" t="s">
        <v>348</v>
      </c>
      <c r="B10" s="31">
        <v>583</v>
      </c>
    </row>
    <row r="11" spans="1:2" x14ac:dyDescent="0.25">
      <c r="A11" s="30" t="s">
        <v>48</v>
      </c>
      <c r="B11" s="31">
        <v>566</v>
      </c>
    </row>
    <row r="12" spans="1:2" x14ac:dyDescent="0.25">
      <c r="A12" s="30" t="s">
        <v>375</v>
      </c>
      <c r="B12" s="31">
        <v>575.6</v>
      </c>
    </row>
    <row r="26" spans="1:10" x14ac:dyDescent="0.25">
      <c r="J26" s="25"/>
    </row>
    <row r="27" spans="1:10" x14ac:dyDescent="0.25">
      <c r="A27" s="25" t="s">
        <v>382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11</vt:i4>
      </vt:variant>
    </vt:vector>
  </HeadingPairs>
  <TitlesOfParts>
    <vt:vector size="15" baseType="lpstr">
      <vt:lpstr>Investor-Inputs</vt:lpstr>
      <vt:lpstr>mutual-funds</vt:lpstr>
      <vt:lpstr>mf_charts</vt:lpstr>
      <vt:lpstr>VisualAnalysis</vt:lpstr>
      <vt:lpstr>Cost_Input</vt:lpstr>
      <vt:lpstr>Cost_Map</vt:lpstr>
      <vt:lpstr>Cost_Weight</vt:lpstr>
      <vt:lpstr>Input</vt:lpstr>
      <vt:lpstr>Investor_Map</vt:lpstr>
      <vt:lpstr>Return_Input</vt:lpstr>
      <vt:lpstr>Return_Map</vt:lpstr>
      <vt:lpstr>Return_Weight</vt:lpstr>
      <vt:lpstr>SIP_Input</vt:lpstr>
      <vt:lpstr>SIP_Weight</vt:lpstr>
      <vt:lpstr>SIPInput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2026-05-07T14:06:18Z</dcterms:modified>
</cp:coreProperties>
</file>